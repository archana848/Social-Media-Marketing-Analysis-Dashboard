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Data Analytics\Excel\"/>
    </mc:Choice>
  </mc:AlternateContent>
  <xr:revisionPtr revIDLastSave="0" documentId="8_{A6134D0A-0076-454A-939E-D67883BE748F}" xr6:coauthVersionLast="47" xr6:coauthVersionMax="47" xr10:uidLastSave="{00000000-0000-0000-0000-000000000000}"/>
  <bookViews>
    <workbookView xWindow="-108" yWindow="-108" windowWidth="23256" windowHeight="12456" xr2:uid="{AE127296-551B-4B91-85D0-FBF3865978C4}"/>
  </bookViews>
  <sheets>
    <sheet name="Social_Media_Campaign_Data" sheetId="2" r:id="rId1"/>
  </sheets>
  <definedNames>
    <definedName name="ExternalData_1" localSheetId="0" hidden="1">Social_Media_Campaign_Data!$A$1:$T$201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172F81-D07E-4AE2-8188-7E5314669FB2}" keepAlive="1" name="Query - Social_Media_Campaign_Data" description="Connection to the 'Social_Media_Campaign_Data' query in the workbook." type="5" refreshedVersion="8" background="1" saveData="1">
    <dbPr connection="Provider=Microsoft.Mashup.OleDb.1;Data Source=$Workbook$;Location=Social_Media_Campaign_Data;Extended Properties=&quot;&quot;" command="SELECT * FROM [Social_Media_Campaign_Data]"/>
  </connection>
</connections>
</file>

<file path=xl/sharedStrings.xml><?xml version="1.0" encoding="utf-8"?>
<sst xmlns="http://schemas.openxmlformats.org/spreadsheetml/2006/main" count="1222" uniqueCount="249">
  <si>
    <t>Campaign_ID</t>
  </si>
  <si>
    <t>Campaign_Name</t>
  </si>
  <si>
    <t>Platform</t>
  </si>
  <si>
    <t>Content_Type</t>
  </si>
  <si>
    <t>Region</t>
  </si>
  <si>
    <t>Age_Group</t>
  </si>
  <si>
    <t>Date</t>
  </si>
  <si>
    <t>Impressions</t>
  </si>
  <si>
    <t>Clicks</t>
  </si>
  <si>
    <t>Conversions</t>
  </si>
  <si>
    <t>Likes</t>
  </si>
  <si>
    <t>Comments</t>
  </si>
  <si>
    <t>Shares</t>
  </si>
  <si>
    <t>Followers_Count</t>
  </si>
  <si>
    <t>Ad_Spend</t>
  </si>
  <si>
    <t>Revenue</t>
  </si>
  <si>
    <t>CTR (%)</t>
  </si>
  <si>
    <t>Conversion_Rate (%)</t>
  </si>
  <si>
    <t>ROI (%)</t>
  </si>
  <si>
    <t>Engagement_Rate (%)</t>
  </si>
  <si>
    <t>CMP001</t>
  </si>
  <si>
    <t>Festive Offer Campaign</t>
  </si>
  <si>
    <t>Twitter(X)</t>
  </si>
  <si>
    <t>Carousel</t>
  </si>
  <si>
    <t>India</t>
  </si>
  <si>
    <t>18-24</t>
  </si>
  <si>
    <t>CMP002</t>
  </si>
  <si>
    <t>Back to School Promo</t>
  </si>
  <si>
    <t>LinkedIn</t>
  </si>
  <si>
    <t>Story</t>
  </si>
  <si>
    <t>UK</t>
  </si>
  <si>
    <t>CMP003</t>
  </si>
  <si>
    <t>Holiday Special Ads</t>
  </si>
  <si>
    <t>Image</t>
  </si>
  <si>
    <t>45+</t>
  </si>
  <si>
    <t>CMP004</t>
  </si>
  <si>
    <t>YouTube</t>
  </si>
  <si>
    <t>Reel</t>
  </si>
  <si>
    <t>USA</t>
  </si>
  <si>
    <t>CMP005</t>
  </si>
  <si>
    <t>Video</t>
  </si>
  <si>
    <t>UAE</t>
  </si>
  <si>
    <t>25-34</t>
  </si>
  <si>
    <t>CMP006</t>
  </si>
  <si>
    <t>Summer Sale Blast</t>
  </si>
  <si>
    <t>CMP007</t>
  </si>
  <si>
    <t>Product Launch Drive</t>
  </si>
  <si>
    <t>35-44</t>
  </si>
  <si>
    <t>CMP008</t>
  </si>
  <si>
    <t>Facebook</t>
  </si>
  <si>
    <t>Canada</t>
  </si>
  <si>
    <t>CMP009</t>
  </si>
  <si>
    <t>CMP010</t>
  </si>
  <si>
    <t>CMP011</t>
  </si>
  <si>
    <t>CMP012</t>
  </si>
  <si>
    <t>CMP013</t>
  </si>
  <si>
    <t>Weekend Flash Campaign</t>
  </si>
  <si>
    <t>CMP014</t>
  </si>
  <si>
    <t>Instagram</t>
  </si>
  <si>
    <t>CMP015</t>
  </si>
  <si>
    <t>CMP016</t>
  </si>
  <si>
    <t>CMP017</t>
  </si>
  <si>
    <t>CMP018</t>
  </si>
  <si>
    <t>Influencer Partnership</t>
  </si>
  <si>
    <t>CMP019</t>
  </si>
  <si>
    <t>CMP020</t>
  </si>
  <si>
    <t>CMP021</t>
  </si>
  <si>
    <t>CMP022</t>
  </si>
  <si>
    <t>CMP023</t>
  </si>
  <si>
    <t>Brand Awareness Push</t>
  </si>
  <si>
    <t>CMP024</t>
  </si>
  <si>
    <t>CMP025</t>
  </si>
  <si>
    <t>CMP026</t>
  </si>
  <si>
    <t>CMP027</t>
  </si>
  <si>
    <t>CMP028</t>
  </si>
  <si>
    <t>CMP029</t>
  </si>
  <si>
    <t>CMP030</t>
  </si>
  <si>
    <t>CMP031</t>
  </si>
  <si>
    <t>CMP032</t>
  </si>
  <si>
    <t>CMP033</t>
  </si>
  <si>
    <t>CMP034</t>
  </si>
  <si>
    <t>CMP035</t>
  </si>
  <si>
    <t>CMP036</t>
  </si>
  <si>
    <t>CMP037</t>
  </si>
  <si>
    <t>CMP038</t>
  </si>
  <si>
    <t>CMP039</t>
  </si>
  <si>
    <t>CMP040</t>
  </si>
  <si>
    <t>CMP041</t>
  </si>
  <si>
    <t>CMP042</t>
  </si>
  <si>
    <t>CMP043</t>
  </si>
  <si>
    <t>CMP044</t>
  </si>
  <si>
    <t>CMP045</t>
  </si>
  <si>
    <t>CMP046</t>
  </si>
  <si>
    <t>CMP047</t>
  </si>
  <si>
    <t>CMP048</t>
  </si>
  <si>
    <t>CMP049</t>
  </si>
  <si>
    <t>CMP050</t>
  </si>
  <si>
    <t>CMP051</t>
  </si>
  <si>
    <t>CMP052</t>
  </si>
  <si>
    <t>CMP053</t>
  </si>
  <si>
    <t>CMP054</t>
  </si>
  <si>
    <t>CMP055</t>
  </si>
  <si>
    <t>CMP056</t>
  </si>
  <si>
    <t>CMP057</t>
  </si>
  <si>
    <t>CMP058</t>
  </si>
  <si>
    <t>CMP059</t>
  </si>
  <si>
    <t>CMP060</t>
  </si>
  <si>
    <t>CMP061</t>
  </si>
  <si>
    <t>CMP062</t>
  </si>
  <si>
    <t>CMP063</t>
  </si>
  <si>
    <t>CMP064</t>
  </si>
  <si>
    <t>CMP065</t>
  </si>
  <si>
    <t>CMP066</t>
  </si>
  <si>
    <t>CMP067</t>
  </si>
  <si>
    <t>CMP068</t>
  </si>
  <si>
    <t>CMP069</t>
  </si>
  <si>
    <t>CMP070</t>
  </si>
  <si>
    <t>CMP071</t>
  </si>
  <si>
    <t>CMP072</t>
  </si>
  <si>
    <t>CMP073</t>
  </si>
  <si>
    <t>CMP074</t>
  </si>
  <si>
    <t>CMP075</t>
  </si>
  <si>
    <t>CMP076</t>
  </si>
  <si>
    <t>CMP077</t>
  </si>
  <si>
    <t>CMP078</t>
  </si>
  <si>
    <t>CMP079</t>
  </si>
  <si>
    <t>CMP080</t>
  </si>
  <si>
    <t>CMP081</t>
  </si>
  <si>
    <t>CMP082</t>
  </si>
  <si>
    <t>CMP083</t>
  </si>
  <si>
    <t>CMP084</t>
  </si>
  <si>
    <t>CMP085</t>
  </si>
  <si>
    <t>CMP086</t>
  </si>
  <si>
    <t>CMP087</t>
  </si>
  <si>
    <t>CMP088</t>
  </si>
  <si>
    <t>CMP089</t>
  </si>
  <si>
    <t>CMP090</t>
  </si>
  <si>
    <t>CMP091</t>
  </si>
  <si>
    <t>CMP092</t>
  </si>
  <si>
    <t>CMP093</t>
  </si>
  <si>
    <t>CMP094</t>
  </si>
  <si>
    <t>CMP095</t>
  </si>
  <si>
    <t>CMP096</t>
  </si>
  <si>
    <t>CMP097</t>
  </si>
  <si>
    <t>CMP098</t>
  </si>
  <si>
    <t>CMP099</t>
  </si>
  <si>
    <t>CMP100</t>
  </si>
  <si>
    <t>CMP101</t>
  </si>
  <si>
    <t>CMP102</t>
  </si>
  <si>
    <t>CMP103</t>
  </si>
  <si>
    <t>CMP104</t>
  </si>
  <si>
    <t>CMP105</t>
  </si>
  <si>
    <t>CMP106</t>
  </si>
  <si>
    <t>CMP107</t>
  </si>
  <si>
    <t>CMP108</t>
  </si>
  <si>
    <t>CMP109</t>
  </si>
  <si>
    <t>CMP110</t>
  </si>
  <si>
    <t>CMP111</t>
  </si>
  <si>
    <t>CMP112</t>
  </si>
  <si>
    <t>CMP113</t>
  </si>
  <si>
    <t>CMP114</t>
  </si>
  <si>
    <t>CMP115</t>
  </si>
  <si>
    <t>CMP116</t>
  </si>
  <si>
    <t>CMP117</t>
  </si>
  <si>
    <t>CMP118</t>
  </si>
  <si>
    <t>CMP119</t>
  </si>
  <si>
    <t>CMP120</t>
  </si>
  <si>
    <t>CMP121</t>
  </si>
  <si>
    <t>CMP122</t>
  </si>
  <si>
    <t>CMP123</t>
  </si>
  <si>
    <t>CMP124</t>
  </si>
  <si>
    <t>CMP125</t>
  </si>
  <si>
    <t>CMP126</t>
  </si>
  <si>
    <t>CMP127</t>
  </si>
  <si>
    <t>CMP128</t>
  </si>
  <si>
    <t>CMP129</t>
  </si>
  <si>
    <t>CMP130</t>
  </si>
  <si>
    <t>CMP131</t>
  </si>
  <si>
    <t>CMP132</t>
  </si>
  <si>
    <t>CMP133</t>
  </si>
  <si>
    <t>CMP134</t>
  </si>
  <si>
    <t>CMP135</t>
  </si>
  <si>
    <t>CMP136</t>
  </si>
  <si>
    <t>CMP137</t>
  </si>
  <si>
    <t>CMP138</t>
  </si>
  <si>
    <t>CMP139</t>
  </si>
  <si>
    <t>CMP140</t>
  </si>
  <si>
    <t>CMP141</t>
  </si>
  <si>
    <t>CMP142</t>
  </si>
  <si>
    <t>CMP143</t>
  </si>
  <si>
    <t>CMP144</t>
  </si>
  <si>
    <t>CMP145</t>
  </si>
  <si>
    <t>CMP146</t>
  </si>
  <si>
    <t>CMP147</t>
  </si>
  <si>
    <t>CMP148</t>
  </si>
  <si>
    <t>CMP149</t>
  </si>
  <si>
    <t>CMP150</t>
  </si>
  <si>
    <t>CMP151</t>
  </si>
  <si>
    <t>CMP152</t>
  </si>
  <si>
    <t>CMP153</t>
  </si>
  <si>
    <t>CMP154</t>
  </si>
  <si>
    <t>CMP155</t>
  </si>
  <si>
    <t>CMP156</t>
  </si>
  <si>
    <t>CMP157</t>
  </si>
  <si>
    <t>CMP158</t>
  </si>
  <si>
    <t>CMP159</t>
  </si>
  <si>
    <t>CMP160</t>
  </si>
  <si>
    <t>CMP161</t>
  </si>
  <si>
    <t>CMP162</t>
  </si>
  <si>
    <t>CMP163</t>
  </si>
  <si>
    <t>CMP164</t>
  </si>
  <si>
    <t>CMP165</t>
  </si>
  <si>
    <t>CMP166</t>
  </si>
  <si>
    <t>CMP167</t>
  </si>
  <si>
    <t>CMP168</t>
  </si>
  <si>
    <t>CMP169</t>
  </si>
  <si>
    <t>CMP170</t>
  </si>
  <si>
    <t>CMP171</t>
  </si>
  <si>
    <t>CMP172</t>
  </si>
  <si>
    <t>CMP173</t>
  </si>
  <si>
    <t>CMP174</t>
  </si>
  <si>
    <t>CMP175</t>
  </si>
  <si>
    <t>CMP176</t>
  </si>
  <si>
    <t>CMP177</t>
  </si>
  <si>
    <t>CMP178</t>
  </si>
  <si>
    <t>CMP179</t>
  </si>
  <si>
    <t>CMP180</t>
  </si>
  <si>
    <t>CMP181</t>
  </si>
  <si>
    <t>CMP182</t>
  </si>
  <si>
    <t>CMP183</t>
  </si>
  <si>
    <t>CMP184</t>
  </si>
  <si>
    <t>CMP185</t>
  </si>
  <si>
    <t>CMP186</t>
  </si>
  <si>
    <t>CMP187</t>
  </si>
  <si>
    <t>CMP188</t>
  </si>
  <si>
    <t>CMP189</t>
  </si>
  <si>
    <t>CMP190</t>
  </si>
  <si>
    <t>CMP191</t>
  </si>
  <si>
    <t>CMP192</t>
  </si>
  <si>
    <t>CMP193</t>
  </si>
  <si>
    <t>CMP194</t>
  </si>
  <si>
    <t>CMP195</t>
  </si>
  <si>
    <t>CMP196</t>
  </si>
  <si>
    <t>CMP197</t>
  </si>
  <si>
    <t>CMP198</t>
  </si>
  <si>
    <t>CMP199</t>
  </si>
  <si>
    <t>CMP200</t>
  </si>
  <si>
    <t>Engagement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</si>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</sst>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A791DD-8384-4276-BDEA-E9013DBCF41F}" autoFormatId="16" applyNumberFormats="0" applyBorderFormats="0" applyFontFormats="0" applyPatternFormats="0" applyAlignmentFormats="0" applyWidthHeightFormats="0">
  <queryTableRefresh nextId="23" unboundColumnsRight="2">
    <queryTableFields count="22">
      <queryTableField id="1" name="Campaign_ID" tableColumnId="1"/>
      <queryTableField id="2" name="Campaign_Name" tableColumnId="2"/>
      <queryTableField id="3" name="Platform" tableColumnId="3"/>
      <queryTableField id="4" name="Content_Type" tableColumnId="4"/>
      <queryTableField id="5" name="Region" tableColumnId="5"/>
      <queryTableField id="6" name="Age_Group" tableColumnId="6"/>
      <queryTableField id="7" name="Date" tableColumnId="7"/>
      <queryTableField id="8" name="Impressions" tableColumnId="8"/>
      <queryTableField id="9" name="Clicks" tableColumnId="9"/>
      <queryTableField id="10" name="Conversions" tableColumnId="10"/>
      <queryTableField id="11" name="Likes" tableColumnId="11"/>
      <queryTableField id="12" name="Comments" tableColumnId="12"/>
      <queryTableField id="13" name="Shares" tableColumnId="13"/>
      <queryTableField id="14" name="Followers_Count" tableColumnId="14"/>
      <queryTableField id="15" name="Ad_Spend" tableColumnId="15"/>
      <queryTableField id="16" name="Revenue" tableColumnId="16"/>
      <queryTableField id="17" name="CTR (%)" tableColumnId="17"/>
      <queryTableField id="18" name="Conversion_Rate (%)" tableColumnId="18"/>
      <queryTableField id="19" name="ROI (%)" tableColumnId="19"/>
      <queryTableField id="20" name="Engagement_Rate (%)" tableColumnId="20"/>
      <queryTableField id="21" dataBound="0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EAEE2-4387-4322-A2E2-6BFC8B2E5A8F}" name="Social_Media_Campaign_Data" displayName="Social_Media_Campaign_Data" ref="A1:V201" tableType="queryTable" totalsRowShown="0">
  <autoFilter ref="A1:V201" xr:uid="{990EAEE2-4387-4322-A2E2-6BFC8B2E5A8F}"/>
  <tableColumns count="22">
    <tableColumn id="1" xr3:uid="{305A2262-98DE-49AE-9C5B-48B32CF29544}" uniqueName="1" name="Campaign_ID" queryTableFieldId="1" dataDxfId="8"/>
    <tableColumn id="2" xr3:uid="{8BA05926-3F38-41A0-B141-3CA51A1F2C28}" uniqueName="2" name="Campaign_Name" queryTableFieldId="2" dataDxfId="7"/>
    <tableColumn id="3" xr3:uid="{E16E77EF-BF24-44CF-9BA2-89D62CBEB357}" uniqueName="3" name="Platform" queryTableFieldId="3" dataDxfId="6"/>
    <tableColumn id="4" xr3:uid="{51FF271F-0441-42D1-9C31-52149BB9F691}" uniqueName="4" name="Content_Type" queryTableFieldId="4" dataDxfId="5"/>
    <tableColumn id="5" xr3:uid="{268F849D-5832-4625-A54B-8F436BFEEDA6}" uniqueName="5" name="Region" queryTableFieldId="5" dataDxfId="4"/>
    <tableColumn id="6" xr3:uid="{36C49248-2E4E-4663-8155-979215AA98C8}" uniqueName="6" name="Age_Group" queryTableFieldId="6" dataDxfId="3"/>
    <tableColumn id="7" xr3:uid="{73EE07EA-03E5-499E-B284-3ACF64802584}" uniqueName="7" name="Date" queryTableFieldId="7" dataDxfId="2"/>
    <tableColumn id="8" xr3:uid="{F30EAE3A-C2A3-4C66-B47F-F762490D0C4E}" uniqueName="8" name="Impressions" queryTableFieldId="8"/>
    <tableColumn id="9" xr3:uid="{9BB76111-7103-4B2F-AF1F-C08E65502B97}" uniqueName="9" name="Clicks" queryTableFieldId="9"/>
    <tableColumn id="10" xr3:uid="{70E1B4EA-444C-4AC4-8773-0E4050A9953D}" uniqueName="10" name="Conversions" queryTableFieldId="10"/>
    <tableColumn id="11" xr3:uid="{43027923-2286-49BD-9654-430379E3E032}" uniqueName="11" name="Likes" queryTableFieldId="11"/>
    <tableColumn id="12" xr3:uid="{396D832D-BC0B-4A5F-B980-D258646EBEE6}" uniqueName="12" name="Comments" queryTableFieldId="12"/>
    <tableColumn id="13" xr3:uid="{4B8D532B-F837-4790-9D4D-4F2132DE7E3B}" uniqueName="13" name="Shares" queryTableFieldId="13"/>
    <tableColumn id="14" xr3:uid="{C2E7D9B5-5B2E-49AE-8649-34D6614D3F93}" uniqueName="14" name="Followers_Count" queryTableFieldId="14"/>
    <tableColumn id="15" xr3:uid="{651F15EB-008D-4E5F-828C-CC469641FAEC}" uniqueName="15" name="Ad_Spend" queryTableFieldId="15"/>
    <tableColumn id="16" xr3:uid="{F2435CA0-B35F-46B3-B528-53038F1402F0}" uniqueName="16" name="Revenue" queryTableFieldId="16"/>
    <tableColumn id="17" xr3:uid="{67FF3E41-7A5A-4544-A121-7B210764D04C}" uniqueName="17" name="CTR (%)" queryTableFieldId="17"/>
    <tableColumn id="18" xr3:uid="{8B2873B1-EA3D-48EB-9199-0E6C62687027}" uniqueName="18" name="Conversion_Rate (%)" queryTableFieldId="18"/>
    <tableColumn id="19" xr3:uid="{B8AE026B-C87F-4F05-AFC3-17CD999538C2}" uniqueName="19" name="ROI (%)" queryTableFieldId="19"/>
    <tableColumn id="20" xr3:uid="{C26AC739-C6A0-4734-A573-EB6344A6F06C}" uniqueName="20" name="Engagement_Rate (%)" queryTableFieldId="20"/>
    <tableColumn id="21" xr3:uid="{68AEB65B-7E15-40A9-BE26-D4615E8FE676}" uniqueName="21" name="Engagement" queryTableFieldId="21" dataDxfId="1">
      <calculatedColumnFormula>Social_Media_Campaign_Data[[#This Row],[Likes]]+Social_Media_Campaign_Data[[#This Row],[Comments]]+Social_Media_Campaign_Data[[#This Row],[Shares]]</calculatedColumnFormula>
    </tableColumn>
    <tableColumn id="22" xr3:uid="{C172AB63-B488-4BDB-9CC5-6A8D94E334A3}" uniqueName="22" name="Month" queryTableFieldId="22" dataDxfId="0">
      <calculatedColumnFormula>TEXT(Social_Media_Campaign_Data[[#This Row],[Date]],"mmmm")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8841-56C6-45BF-ABEF-2A261FA7F02B}">
  <dimension ref="A1:V201"/>
  <sheetViews>
    <sheetView tabSelected="1" topLeftCell="E1" zoomScale="70" zoomScaleNormal="70" workbookViewId="0">
      <selection activeCell="X6" sqref="X6"/>
    </sheetView>
  </sheetViews>
  <sheetFormatPr defaultRowHeight="14.4" x14ac:dyDescent="0.3"/>
  <cols>
    <col min="1" max="1" width="14.21875" bestFit="1" customWidth="1"/>
    <col min="2" max="2" width="22" bestFit="1" customWidth="1"/>
    <col min="3" max="3" width="13" customWidth="1"/>
    <col min="4" max="4" width="17.6640625" customWidth="1"/>
    <col min="5" max="5" width="12.88671875" customWidth="1"/>
    <col min="6" max="6" width="12.109375" bestFit="1" customWidth="1"/>
    <col min="7" max="7" width="13.77734375" customWidth="1"/>
    <col min="8" max="8" width="13.44140625" bestFit="1" customWidth="1"/>
    <col min="9" max="9" width="8.44140625" bestFit="1" customWidth="1"/>
    <col min="10" max="10" width="13.33203125" bestFit="1" customWidth="1"/>
    <col min="11" max="11" width="7.5546875" bestFit="1" customWidth="1"/>
    <col min="12" max="12" width="12.33203125" bestFit="1" customWidth="1"/>
    <col min="14" max="14" width="17" bestFit="1" customWidth="1"/>
    <col min="15" max="15" width="15.5546875" customWidth="1"/>
    <col min="16" max="16" width="12.109375" customWidth="1"/>
    <col min="17" max="17" width="9.6640625" bestFit="1" customWidth="1"/>
    <col min="18" max="18" width="20.44140625" bestFit="1" customWidth="1"/>
    <col min="19" max="19" width="9.44140625" bestFit="1" customWidth="1"/>
    <col min="20" max="20" width="21.33203125" bestFit="1" customWidth="1"/>
    <col min="21" max="21" width="14.21875" customWidth="1"/>
    <col min="22" max="22" width="12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247</v>
      </c>
      <c r="V1" t="s">
        <v>248</v>
      </c>
    </row>
    <row r="2" spans="1:22" x14ac:dyDescent="0.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2">
        <v>45681</v>
      </c>
      <c r="H2">
        <v>46905</v>
      </c>
      <c r="I2">
        <v>1412</v>
      </c>
      <c r="J2">
        <v>75</v>
      </c>
      <c r="K2">
        <v>2453</v>
      </c>
      <c r="L2">
        <v>270</v>
      </c>
      <c r="M2">
        <v>238</v>
      </c>
      <c r="N2">
        <v>76482</v>
      </c>
      <c r="O2">
        <v>1825.61</v>
      </c>
      <c r="P2">
        <v>3393.32</v>
      </c>
      <c r="Q2">
        <v>3.01</v>
      </c>
      <c r="R2">
        <v>5.31</v>
      </c>
      <c r="S2">
        <v>85.87</v>
      </c>
      <c r="T2">
        <v>3.87</v>
      </c>
      <c r="U2">
        <f>Social_Media_Campaign_Data[[#This Row],[Likes]]+Social_Media_Campaign_Data[[#This Row],[Comments]]+Social_Media_Campaign_Data[[#This Row],[Shares]]</f>
        <v>2961</v>
      </c>
      <c r="V2" t="str">
        <f>TEXT(Social_Media_Campaign_Data[[#This Row],[Date]],"mmmm")</f>
        <v>January</v>
      </c>
    </row>
    <row r="3" spans="1:22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25</v>
      </c>
      <c r="G3" s="2">
        <v>45698</v>
      </c>
      <c r="H3">
        <v>19328</v>
      </c>
      <c r="I3">
        <v>2405</v>
      </c>
      <c r="J3">
        <v>567</v>
      </c>
      <c r="K3">
        <v>417</v>
      </c>
      <c r="L3">
        <v>594</v>
      </c>
      <c r="M3">
        <v>213</v>
      </c>
      <c r="N3">
        <v>59987</v>
      </c>
      <c r="O3">
        <v>7302.19</v>
      </c>
      <c r="P3">
        <v>28877.51</v>
      </c>
      <c r="Q3">
        <v>12.44</v>
      </c>
      <c r="R3">
        <v>23.58</v>
      </c>
      <c r="S3">
        <v>295.45999999999998</v>
      </c>
      <c r="T3">
        <v>2.04</v>
      </c>
      <c r="U3">
        <f>Social_Media_Campaign_Data[[#This Row],[Likes]]+Social_Media_Campaign_Data[[#This Row],[Comments]]+Social_Media_Campaign_Data[[#This Row],[Shares]]</f>
        <v>1224</v>
      </c>
      <c r="V3" t="str">
        <f>TEXT(Social_Media_Campaign_Data[[#This Row],[Date]],"mmmm")</f>
        <v>February</v>
      </c>
    </row>
    <row r="4" spans="1:22" x14ac:dyDescent="0.3">
      <c r="A4" s="1" t="s">
        <v>31</v>
      </c>
      <c r="B4" s="1" t="s">
        <v>32</v>
      </c>
      <c r="C4" s="1" t="s">
        <v>22</v>
      </c>
      <c r="D4" s="1" t="s">
        <v>33</v>
      </c>
      <c r="E4" s="1" t="s">
        <v>24</v>
      </c>
      <c r="F4" s="1" t="s">
        <v>34</v>
      </c>
      <c r="G4" s="2">
        <v>45795</v>
      </c>
      <c r="H4">
        <v>32696</v>
      </c>
      <c r="I4">
        <v>3287</v>
      </c>
      <c r="J4">
        <v>334</v>
      </c>
      <c r="K4">
        <v>1473</v>
      </c>
      <c r="L4">
        <v>240</v>
      </c>
      <c r="M4">
        <v>354</v>
      </c>
      <c r="N4">
        <v>52052</v>
      </c>
      <c r="O4">
        <v>1471</v>
      </c>
      <c r="P4">
        <v>4162.5600000000004</v>
      </c>
      <c r="Q4">
        <v>10.050000000000001</v>
      </c>
      <c r="R4">
        <v>10.16</v>
      </c>
      <c r="S4">
        <v>182.97</v>
      </c>
      <c r="T4">
        <v>3.97</v>
      </c>
      <c r="U4">
        <f>Social_Media_Campaign_Data[[#This Row],[Likes]]+Social_Media_Campaign_Data[[#This Row],[Comments]]+Social_Media_Campaign_Data[[#This Row],[Shares]]</f>
        <v>2067</v>
      </c>
      <c r="V4" t="str">
        <f>TEXT(Social_Media_Campaign_Data[[#This Row],[Date]],"mmmm")</f>
        <v>May</v>
      </c>
    </row>
    <row r="5" spans="1:22" x14ac:dyDescent="0.3">
      <c r="A5" s="1" t="s">
        <v>35</v>
      </c>
      <c r="B5" s="1" t="s">
        <v>27</v>
      </c>
      <c r="C5" s="1" t="s">
        <v>36</v>
      </c>
      <c r="D5" s="1" t="s">
        <v>37</v>
      </c>
      <c r="E5" s="1" t="s">
        <v>38</v>
      </c>
      <c r="F5" s="1" t="s">
        <v>25</v>
      </c>
      <c r="G5" s="2">
        <v>45755</v>
      </c>
      <c r="H5">
        <v>13180</v>
      </c>
      <c r="I5">
        <v>3600</v>
      </c>
      <c r="J5">
        <v>130</v>
      </c>
      <c r="K5">
        <v>4722</v>
      </c>
      <c r="L5">
        <v>320</v>
      </c>
      <c r="M5">
        <v>380</v>
      </c>
      <c r="N5">
        <v>11006</v>
      </c>
      <c r="O5">
        <v>5984.85</v>
      </c>
      <c r="P5">
        <v>23735.919999999998</v>
      </c>
      <c r="Q5">
        <v>27.31</v>
      </c>
      <c r="R5">
        <v>3.61</v>
      </c>
      <c r="S5">
        <v>296.60000000000002</v>
      </c>
      <c r="T5">
        <v>49.26</v>
      </c>
      <c r="U5">
        <f>Social_Media_Campaign_Data[[#This Row],[Likes]]+Social_Media_Campaign_Data[[#This Row],[Comments]]+Social_Media_Campaign_Data[[#This Row],[Shares]]</f>
        <v>5422</v>
      </c>
      <c r="V5" t="str">
        <f>TEXT(Social_Media_Campaign_Data[[#This Row],[Date]],"mmmm")</f>
        <v>April</v>
      </c>
    </row>
    <row r="6" spans="1:22" x14ac:dyDescent="0.3">
      <c r="A6" s="1" t="s">
        <v>39</v>
      </c>
      <c r="B6" s="1" t="s">
        <v>21</v>
      </c>
      <c r="C6" s="1" t="s">
        <v>22</v>
      </c>
      <c r="D6" s="1" t="s">
        <v>40</v>
      </c>
      <c r="E6" s="1" t="s">
        <v>41</v>
      </c>
      <c r="F6" s="1" t="s">
        <v>42</v>
      </c>
      <c r="G6" s="2">
        <v>45699</v>
      </c>
      <c r="H6">
        <v>23217</v>
      </c>
      <c r="I6">
        <v>4214</v>
      </c>
      <c r="J6">
        <v>700</v>
      </c>
      <c r="K6">
        <v>3188</v>
      </c>
      <c r="L6">
        <v>186</v>
      </c>
      <c r="M6">
        <v>389</v>
      </c>
      <c r="N6">
        <v>96988</v>
      </c>
      <c r="O6">
        <v>3875.07</v>
      </c>
      <c r="P6">
        <v>14902.02</v>
      </c>
      <c r="Q6">
        <v>18.149999999999999</v>
      </c>
      <c r="R6">
        <v>16.61</v>
      </c>
      <c r="S6">
        <v>284.56</v>
      </c>
      <c r="T6">
        <v>3.88</v>
      </c>
      <c r="U6">
        <f>Social_Media_Campaign_Data[[#This Row],[Likes]]+Social_Media_Campaign_Data[[#This Row],[Comments]]+Social_Media_Campaign_Data[[#This Row],[Shares]]</f>
        <v>3763</v>
      </c>
      <c r="V6" t="str">
        <f>TEXT(Social_Media_Campaign_Data[[#This Row],[Date]],"mmmm")</f>
        <v>February</v>
      </c>
    </row>
    <row r="7" spans="1:22" x14ac:dyDescent="0.3">
      <c r="A7" s="1" t="s">
        <v>43</v>
      </c>
      <c r="B7" s="1" t="s">
        <v>44</v>
      </c>
      <c r="C7" s="1" t="s">
        <v>36</v>
      </c>
      <c r="D7" s="1" t="s">
        <v>23</v>
      </c>
      <c r="E7" s="1" t="s">
        <v>30</v>
      </c>
      <c r="F7" s="1" t="s">
        <v>25</v>
      </c>
      <c r="G7" s="2">
        <v>45712</v>
      </c>
      <c r="H7">
        <v>35294</v>
      </c>
      <c r="I7">
        <v>3608</v>
      </c>
      <c r="J7">
        <v>326</v>
      </c>
      <c r="K7">
        <v>4762</v>
      </c>
      <c r="L7">
        <v>244</v>
      </c>
      <c r="M7">
        <v>342</v>
      </c>
      <c r="N7">
        <v>35021</v>
      </c>
      <c r="O7">
        <v>8507.09</v>
      </c>
      <c r="P7">
        <v>35865.89</v>
      </c>
      <c r="Q7">
        <v>10.220000000000001</v>
      </c>
      <c r="R7">
        <v>9.0399999999999991</v>
      </c>
      <c r="S7">
        <v>321.60000000000002</v>
      </c>
      <c r="T7">
        <v>15.27</v>
      </c>
      <c r="U7">
        <f>Social_Media_Campaign_Data[[#This Row],[Likes]]+Social_Media_Campaign_Data[[#This Row],[Comments]]+Social_Media_Campaign_Data[[#This Row],[Shares]]</f>
        <v>5348</v>
      </c>
      <c r="V7" t="str">
        <f>TEXT(Social_Media_Campaign_Data[[#This Row],[Date]],"mmmm")</f>
        <v>February</v>
      </c>
    </row>
    <row r="8" spans="1:22" x14ac:dyDescent="0.3">
      <c r="A8" s="1" t="s">
        <v>45</v>
      </c>
      <c r="B8" s="1" t="s">
        <v>46</v>
      </c>
      <c r="C8" s="1" t="s">
        <v>36</v>
      </c>
      <c r="D8" s="1" t="s">
        <v>40</v>
      </c>
      <c r="E8" s="1" t="s">
        <v>38</v>
      </c>
      <c r="F8" s="1" t="s">
        <v>47</v>
      </c>
      <c r="G8" s="2">
        <v>45807</v>
      </c>
      <c r="H8">
        <v>42170</v>
      </c>
      <c r="I8">
        <v>6381</v>
      </c>
      <c r="J8">
        <v>372</v>
      </c>
      <c r="K8">
        <v>1941</v>
      </c>
      <c r="L8">
        <v>691</v>
      </c>
      <c r="M8">
        <v>521</v>
      </c>
      <c r="N8">
        <v>65142</v>
      </c>
      <c r="O8">
        <v>4258.5</v>
      </c>
      <c r="P8">
        <v>20018.849999999999</v>
      </c>
      <c r="Q8">
        <v>15.13</v>
      </c>
      <c r="R8">
        <v>5.83</v>
      </c>
      <c r="S8">
        <v>370.09</v>
      </c>
      <c r="T8">
        <v>4.84</v>
      </c>
      <c r="U8">
        <f>Social_Media_Campaign_Data[[#This Row],[Likes]]+Social_Media_Campaign_Data[[#This Row],[Comments]]+Social_Media_Campaign_Data[[#This Row],[Shares]]</f>
        <v>3153</v>
      </c>
      <c r="V8" t="str">
        <f>TEXT(Social_Media_Campaign_Data[[#This Row],[Date]],"mmmm")</f>
        <v>May</v>
      </c>
    </row>
    <row r="9" spans="1:22" x14ac:dyDescent="0.3">
      <c r="A9" s="1" t="s">
        <v>48</v>
      </c>
      <c r="B9" s="1" t="s">
        <v>21</v>
      </c>
      <c r="C9" s="1" t="s">
        <v>49</v>
      </c>
      <c r="D9" s="1" t="s">
        <v>40</v>
      </c>
      <c r="E9" s="1" t="s">
        <v>50</v>
      </c>
      <c r="F9" s="1" t="s">
        <v>25</v>
      </c>
      <c r="G9" s="2">
        <v>45756</v>
      </c>
      <c r="H9">
        <v>33077</v>
      </c>
      <c r="I9">
        <v>5280</v>
      </c>
      <c r="J9">
        <v>458</v>
      </c>
      <c r="K9">
        <v>3165</v>
      </c>
      <c r="L9">
        <v>244</v>
      </c>
      <c r="M9">
        <v>151</v>
      </c>
      <c r="N9">
        <v>11175</v>
      </c>
      <c r="O9">
        <v>5340.5</v>
      </c>
      <c r="P9">
        <v>9710.01</v>
      </c>
      <c r="Q9">
        <v>15.96</v>
      </c>
      <c r="R9">
        <v>8.67</v>
      </c>
      <c r="S9">
        <v>81.819999999999993</v>
      </c>
      <c r="T9">
        <v>31.86</v>
      </c>
      <c r="U9">
        <f>Social_Media_Campaign_Data[[#This Row],[Likes]]+Social_Media_Campaign_Data[[#This Row],[Comments]]+Social_Media_Campaign_Data[[#This Row],[Shares]]</f>
        <v>3560</v>
      </c>
      <c r="V9" t="str">
        <f>TEXT(Social_Media_Campaign_Data[[#This Row],[Date]],"mmmm")</f>
        <v>April</v>
      </c>
    </row>
    <row r="10" spans="1:22" x14ac:dyDescent="0.3">
      <c r="A10" s="1" t="s">
        <v>51</v>
      </c>
      <c r="B10" s="1" t="s">
        <v>21</v>
      </c>
      <c r="C10" s="1" t="s">
        <v>22</v>
      </c>
      <c r="D10" s="1" t="s">
        <v>33</v>
      </c>
      <c r="E10" s="1" t="s">
        <v>30</v>
      </c>
      <c r="F10" s="1" t="s">
        <v>25</v>
      </c>
      <c r="G10" s="2">
        <v>45733</v>
      </c>
      <c r="H10">
        <v>30009</v>
      </c>
      <c r="I10">
        <v>5381</v>
      </c>
      <c r="J10">
        <v>529</v>
      </c>
      <c r="K10">
        <v>4534</v>
      </c>
      <c r="L10">
        <v>277</v>
      </c>
      <c r="M10">
        <v>576</v>
      </c>
      <c r="N10">
        <v>99466</v>
      </c>
      <c r="O10">
        <v>8677.41</v>
      </c>
      <c r="P10">
        <v>13364.8</v>
      </c>
      <c r="Q10">
        <v>17.93</v>
      </c>
      <c r="R10">
        <v>9.83</v>
      </c>
      <c r="S10">
        <v>54.02</v>
      </c>
      <c r="T10">
        <v>5.42</v>
      </c>
      <c r="U10">
        <f>Social_Media_Campaign_Data[[#This Row],[Likes]]+Social_Media_Campaign_Data[[#This Row],[Comments]]+Social_Media_Campaign_Data[[#This Row],[Shares]]</f>
        <v>5387</v>
      </c>
      <c r="V10" t="str">
        <f>TEXT(Social_Media_Campaign_Data[[#This Row],[Date]],"mmmm")</f>
        <v>March</v>
      </c>
    </row>
    <row r="11" spans="1:22" x14ac:dyDescent="0.3">
      <c r="A11" s="1" t="s">
        <v>52</v>
      </c>
      <c r="B11" s="1" t="s">
        <v>21</v>
      </c>
      <c r="C11" s="1" t="s">
        <v>36</v>
      </c>
      <c r="D11" s="1" t="s">
        <v>29</v>
      </c>
      <c r="E11" s="1" t="s">
        <v>41</v>
      </c>
      <c r="F11" s="1" t="s">
        <v>42</v>
      </c>
      <c r="G11" s="2">
        <v>45697</v>
      </c>
      <c r="H11">
        <v>33492</v>
      </c>
      <c r="I11">
        <v>1795</v>
      </c>
      <c r="J11">
        <v>514</v>
      </c>
      <c r="K11">
        <v>226</v>
      </c>
      <c r="L11">
        <v>759</v>
      </c>
      <c r="M11">
        <v>279</v>
      </c>
      <c r="N11">
        <v>71542</v>
      </c>
      <c r="O11">
        <v>9732.94</v>
      </c>
      <c r="P11">
        <v>40555.870000000003</v>
      </c>
      <c r="Q11">
        <v>5.36</v>
      </c>
      <c r="R11">
        <v>28.64</v>
      </c>
      <c r="S11">
        <v>316.69</v>
      </c>
      <c r="T11">
        <v>1.77</v>
      </c>
      <c r="U11">
        <f>Social_Media_Campaign_Data[[#This Row],[Likes]]+Social_Media_Campaign_Data[[#This Row],[Comments]]+Social_Media_Campaign_Data[[#This Row],[Shares]]</f>
        <v>1264</v>
      </c>
      <c r="V11" t="str">
        <f>TEXT(Social_Media_Campaign_Data[[#This Row],[Date]],"mmmm")</f>
        <v>February</v>
      </c>
    </row>
    <row r="12" spans="1:22" x14ac:dyDescent="0.3">
      <c r="A12" s="1" t="s">
        <v>53</v>
      </c>
      <c r="B12" s="1" t="s">
        <v>32</v>
      </c>
      <c r="C12" s="1" t="s">
        <v>36</v>
      </c>
      <c r="D12" s="1" t="s">
        <v>40</v>
      </c>
      <c r="E12" s="1" t="s">
        <v>24</v>
      </c>
      <c r="F12" s="1" t="s">
        <v>42</v>
      </c>
      <c r="G12" s="2">
        <v>45803</v>
      </c>
      <c r="H12">
        <v>29504</v>
      </c>
      <c r="I12">
        <v>6746</v>
      </c>
      <c r="J12">
        <v>215</v>
      </c>
      <c r="K12">
        <v>4618</v>
      </c>
      <c r="L12">
        <v>563</v>
      </c>
      <c r="M12">
        <v>10</v>
      </c>
      <c r="N12">
        <v>19662</v>
      </c>
      <c r="O12">
        <v>6189.97</v>
      </c>
      <c r="P12">
        <v>19870.55</v>
      </c>
      <c r="Q12">
        <v>22.86</v>
      </c>
      <c r="R12">
        <v>3.19</v>
      </c>
      <c r="S12">
        <v>221.01</v>
      </c>
      <c r="T12">
        <v>26.4</v>
      </c>
      <c r="U12">
        <f>Social_Media_Campaign_Data[[#This Row],[Likes]]+Social_Media_Campaign_Data[[#This Row],[Comments]]+Social_Media_Campaign_Data[[#This Row],[Shares]]</f>
        <v>5191</v>
      </c>
      <c r="V12" t="str">
        <f>TEXT(Social_Media_Campaign_Data[[#This Row],[Date]],"mmmm")</f>
        <v>May</v>
      </c>
    </row>
    <row r="13" spans="1:22" x14ac:dyDescent="0.3">
      <c r="A13" s="1" t="s">
        <v>54</v>
      </c>
      <c r="B13" s="1" t="s">
        <v>46</v>
      </c>
      <c r="C13" s="1" t="s">
        <v>36</v>
      </c>
      <c r="D13" s="1" t="s">
        <v>29</v>
      </c>
      <c r="E13" s="1" t="s">
        <v>41</v>
      </c>
      <c r="F13" s="1" t="s">
        <v>34</v>
      </c>
      <c r="G13" s="2">
        <v>45712</v>
      </c>
      <c r="H13">
        <v>10161</v>
      </c>
      <c r="I13">
        <v>1201</v>
      </c>
      <c r="J13">
        <v>799</v>
      </c>
      <c r="K13">
        <v>4181</v>
      </c>
      <c r="L13">
        <v>90</v>
      </c>
      <c r="M13">
        <v>555</v>
      </c>
      <c r="N13">
        <v>67296</v>
      </c>
      <c r="O13">
        <v>7775.43</v>
      </c>
      <c r="P13">
        <v>15157.19</v>
      </c>
      <c r="Q13">
        <v>11.82</v>
      </c>
      <c r="R13">
        <v>66.53</v>
      </c>
      <c r="S13">
        <v>94.94</v>
      </c>
      <c r="T13">
        <v>7.17</v>
      </c>
      <c r="U13">
        <f>Social_Media_Campaign_Data[[#This Row],[Likes]]+Social_Media_Campaign_Data[[#This Row],[Comments]]+Social_Media_Campaign_Data[[#This Row],[Shares]]</f>
        <v>4826</v>
      </c>
      <c r="V13" t="str">
        <f>TEXT(Social_Media_Campaign_Data[[#This Row],[Date]],"mmmm")</f>
        <v>February</v>
      </c>
    </row>
    <row r="14" spans="1:22" x14ac:dyDescent="0.3">
      <c r="A14" s="1" t="s">
        <v>55</v>
      </c>
      <c r="B14" s="1" t="s">
        <v>56</v>
      </c>
      <c r="C14" s="1" t="s">
        <v>22</v>
      </c>
      <c r="D14" s="1" t="s">
        <v>23</v>
      </c>
      <c r="E14" s="1" t="s">
        <v>24</v>
      </c>
      <c r="F14" s="1" t="s">
        <v>42</v>
      </c>
      <c r="G14" s="2">
        <v>45715</v>
      </c>
      <c r="H14">
        <v>40343</v>
      </c>
      <c r="I14">
        <v>6687</v>
      </c>
      <c r="J14">
        <v>797</v>
      </c>
      <c r="K14">
        <v>1847</v>
      </c>
      <c r="L14">
        <v>750</v>
      </c>
      <c r="M14">
        <v>329</v>
      </c>
      <c r="N14">
        <v>53944</v>
      </c>
      <c r="O14">
        <v>4290.43</v>
      </c>
      <c r="P14">
        <v>16522.04</v>
      </c>
      <c r="Q14">
        <v>16.579999999999998</v>
      </c>
      <c r="R14">
        <v>11.92</v>
      </c>
      <c r="S14">
        <v>285.08999999999997</v>
      </c>
      <c r="T14">
        <v>5.42</v>
      </c>
      <c r="U14">
        <f>Social_Media_Campaign_Data[[#This Row],[Likes]]+Social_Media_Campaign_Data[[#This Row],[Comments]]+Social_Media_Campaign_Data[[#This Row],[Shares]]</f>
        <v>2926</v>
      </c>
      <c r="V14" t="str">
        <f>TEXT(Social_Media_Campaign_Data[[#This Row],[Date]],"mmmm")</f>
        <v>February</v>
      </c>
    </row>
    <row r="15" spans="1:22" x14ac:dyDescent="0.3">
      <c r="A15" s="1" t="s">
        <v>57</v>
      </c>
      <c r="B15" s="1" t="s">
        <v>27</v>
      </c>
      <c r="C15" s="1" t="s">
        <v>58</v>
      </c>
      <c r="D15" s="1" t="s">
        <v>37</v>
      </c>
      <c r="E15" s="1" t="s">
        <v>30</v>
      </c>
      <c r="F15" s="1" t="s">
        <v>25</v>
      </c>
      <c r="G15" s="2">
        <v>45789</v>
      </c>
      <c r="H15">
        <v>9196</v>
      </c>
      <c r="I15">
        <v>3269</v>
      </c>
      <c r="J15">
        <v>71</v>
      </c>
      <c r="K15">
        <v>4737</v>
      </c>
      <c r="L15">
        <v>255</v>
      </c>
      <c r="M15">
        <v>235</v>
      </c>
      <c r="N15">
        <v>12716</v>
      </c>
      <c r="O15">
        <v>568.30999999999995</v>
      </c>
      <c r="P15">
        <v>2260.42</v>
      </c>
      <c r="Q15">
        <v>35.549999999999997</v>
      </c>
      <c r="R15">
        <v>2.17</v>
      </c>
      <c r="S15">
        <v>297.74</v>
      </c>
      <c r="T15">
        <v>41.11</v>
      </c>
      <c r="U15">
        <f>Social_Media_Campaign_Data[[#This Row],[Likes]]+Social_Media_Campaign_Data[[#This Row],[Comments]]+Social_Media_Campaign_Data[[#This Row],[Shares]]</f>
        <v>5227</v>
      </c>
      <c r="V15" t="str">
        <f>TEXT(Social_Media_Campaign_Data[[#This Row],[Date]],"mmmm")</f>
        <v>May</v>
      </c>
    </row>
    <row r="16" spans="1:22" x14ac:dyDescent="0.3">
      <c r="A16" s="1" t="s">
        <v>59</v>
      </c>
      <c r="B16" s="1" t="s">
        <v>56</v>
      </c>
      <c r="C16" s="1" t="s">
        <v>49</v>
      </c>
      <c r="D16" s="1" t="s">
        <v>23</v>
      </c>
      <c r="E16" s="1" t="s">
        <v>50</v>
      </c>
      <c r="F16" s="1" t="s">
        <v>42</v>
      </c>
      <c r="G16" s="2">
        <v>45682</v>
      </c>
      <c r="H16">
        <v>20597</v>
      </c>
      <c r="I16">
        <v>2781</v>
      </c>
      <c r="J16">
        <v>735</v>
      </c>
      <c r="K16">
        <v>4176</v>
      </c>
      <c r="L16">
        <v>239</v>
      </c>
      <c r="M16">
        <v>562</v>
      </c>
      <c r="N16">
        <v>79847</v>
      </c>
      <c r="O16">
        <v>1756.96</v>
      </c>
      <c r="P16">
        <v>8388.25</v>
      </c>
      <c r="Q16">
        <v>13.5</v>
      </c>
      <c r="R16">
        <v>26.43</v>
      </c>
      <c r="S16">
        <v>377.43</v>
      </c>
      <c r="T16">
        <v>6.23</v>
      </c>
      <c r="U16">
        <f>Social_Media_Campaign_Data[[#This Row],[Likes]]+Social_Media_Campaign_Data[[#This Row],[Comments]]+Social_Media_Campaign_Data[[#This Row],[Shares]]</f>
        <v>4977</v>
      </c>
      <c r="V16" t="str">
        <f>TEXT(Social_Media_Campaign_Data[[#This Row],[Date]],"mmmm")</f>
        <v>January</v>
      </c>
    </row>
    <row r="17" spans="1:22" x14ac:dyDescent="0.3">
      <c r="A17" s="1" t="s">
        <v>60</v>
      </c>
      <c r="B17" s="1" t="s">
        <v>21</v>
      </c>
      <c r="C17" s="1" t="s">
        <v>58</v>
      </c>
      <c r="D17" s="1" t="s">
        <v>23</v>
      </c>
      <c r="E17" s="1" t="s">
        <v>30</v>
      </c>
      <c r="F17" s="1" t="s">
        <v>25</v>
      </c>
      <c r="G17" s="2">
        <v>45721</v>
      </c>
      <c r="H17">
        <v>11352</v>
      </c>
      <c r="I17">
        <v>4031</v>
      </c>
      <c r="J17">
        <v>412</v>
      </c>
      <c r="K17">
        <v>3669</v>
      </c>
      <c r="L17">
        <v>440</v>
      </c>
      <c r="M17">
        <v>488</v>
      </c>
      <c r="N17">
        <v>90649</v>
      </c>
      <c r="O17">
        <v>8706.4500000000007</v>
      </c>
      <c r="P17">
        <v>14710.41</v>
      </c>
      <c r="Q17">
        <v>35.51</v>
      </c>
      <c r="R17">
        <v>10.220000000000001</v>
      </c>
      <c r="S17">
        <v>68.959999999999994</v>
      </c>
      <c r="T17">
        <v>5.07</v>
      </c>
      <c r="U17">
        <f>Social_Media_Campaign_Data[[#This Row],[Likes]]+Social_Media_Campaign_Data[[#This Row],[Comments]]+Social_Media_Campaign_Data[[#This Row],[Shares]]</f>
        <v>4597</v>
      </c>
      <c r="V17" t="str">
        <f>TEXT(Social_Media_Campaign_Data[[#This Row],[Date]],"mmmm")</f>
        <v>March</v>
      </c>
    </row>
    <row r="18" spans="1:22" x14ac:dyDescent="0.3">
      <c r="A18" s="1" t="s">
        <v>61</v>
      </c>
      <c r="B18" s="1" t="s">
        <v>56</v>
      </c>
      <c r="C18" s="1" t="s">
        <v>22</v>
      </c>
      <c r="D18" s="1" t="s">
        <v>37</v>
      </c>
      <c r="E18" s="1" t="s">
        <v>24</v>
      </c>
      <c r="F18" s="1" t="s">
        <v>25</v>
      </c>
      <c r="G18" s="2">
        <v>45681</v>
      </c>
      <c r="H18">
        <v>17556</v>
      </c>
      <c r="I18">
        <v>2058</v>
      </c>
      <c r="J18">
        <v>599</v>
      </c>
      <c r="K18">
        <v>3875</v>
      </c>
      <c r="L18">
        <v>163</v>
      </c>
      <c r="M18">
        <v>442</v>
      </c>
      <c r="N18">
        <v>14880</v>
      </c>
      <c r="O18">
        <v>2243.14</v>
      </c>
      <c r="P18">
        <v>6996.8</v>
      </c>
      <c r="Q18">
        <v>11.72</v>
      </c>
      <c r="R18">
        <v>29.11</v>
      </c>
      <c r="S18">
        <v>211.92</v>
      </c>
      <c r="T18">
        <v>30.11</v>
      </c>
      <c r="U18">
        <f>Social_Media_Campaign_Data[[#This Row],[Likes]]+Social_Media_Campaign_Data[[#This Row],[Comments]]+Social_Media_Campaign_Data[[#This Row],[Shares]]</f>
        <v>4480</v>
      </c>
      <c r="V18" t="str">
        <f>TEXT(Social_Media_Campaign_Data[[#This Row],[Date]],"mmmm")</f>
        <v>January</v>
      </c>
    </row>
    <row r="19" spans="1:22" x14ac:dyDescent="0.3">
      <c r="A19" s="1" t="s">
        <v>62</v>
      </c>
      <c r="B19" s="1" t="s">
        <v>63</v>
      </c>
      <c r="C19" s="1" t="s">
        <v>58</v>
      </c>
      <c r="D19" s="1" t="s">
        <v>23</v>
      </c>
      <c r="E19" s="1" t="s">
        <v>30</v>
      </c>
      <c r="F19" s="1" t="s">
        <v>34</v>
      </c>
      <c r="G19" s="2">
        <v>45731</v>
      </c>
      <c r="H19">
        <v>20491</v>
      </c>
      <c r="I19">
        <v>1862</v>
      </c>
      <c r="J19">
        <v>466</v>
      </c>
      <c r="K19">
        <v>4178</v>
      </c>
      <c r="L19">
        <v>512</v>
      </c>
      <c r="M19">
        <v>228</v>
      </c>
      <c r="N19">
        <v>26579</v>
      </c>
      <c r="O19">
        <v>8714.18</v>
      </c>
      <c r="P19">
        <v>40595.440000000002</v>
      </c>
      <c r="Q19">
        <v>9.09</v>
      </c>
      <c r="R19">
        <v>25.03</v>
      </c>
      <c r="S19">
        <v>365.85</v>
      </c>
      <c r="T19">
        <v>18.5</v>
      </c>
      <c r="U19">
        <f>Social_Media_Campaign_Data[[#This Row],[Likes]]+Social_Media_Campaign_Data[[#This Row],[Comments]]+Social_Media_Campaign_Data[[#This Row],[Shares]]</f>
        <v>4918</v>
      </c>
      <c r="V19" t="str">
        <f>TEXT(Social_Media_Campaign_Data[[#This Row],[Date]],"mmmm")</f>
        <v>March</v>
      </c>
    </row>
    <row r="20" spans="1:22" x14ac:dyDescent="0.3">
      <c r="A20" s="1" t="s">
        <v>64</v>
      </c>
      <c r="B20" s="1" t="s">
        <v>44</v>
      </c>
      <c r="C20" s="1" t="s">
        <v>36</v>
      </c>
      <c r="D20" s="1" t="s">
        <v>37</v>
      </c>
      <c r="E20" s="1" t="s">
        <v>24</v>
      </c>
      <c r="F20" s="1" t="s">
        <v>34</v>
      </c>
      <c r="G20" s="2">
        <v>45786</v>
      </c>
      <c r="H20">
        <v>32722</v>
      </c>
      <c r="I20">
        <v>6206</v>
      </c>
      <c r="J20">
        <v>798</v>
      </c>
      <c r="K20">
        <v>4752</v>
      </c>
      <c r="L20">
        <v>697</v>
      </c>
      <c r="M20">
        <v>508</v>
      </c>
      <c r="N20">
        <v>12665</v>
      </c>
      <c r="O20">
        <v>1970.57</v>
      </c>
      <c r="P20">
        <v>5002.25</v>
      </c>
      <c r="Q20">
        <v>18.97</v>
      </c>
      <c r="R20">
        <v>12.86</v>
      </c>
      <c r="S20">
        <v>153.85</v>
      </c>
      <c r="T20">
        <v>47.04</v>
      </c>
      <c r="U20">
        <f>Social_Media_Campaign_Data[[#This Row],[Likes]]+Social_Media_Campaign_Data[[#This Row],[Comments]]+Social_Media_Campaign_Data[[#This Row],[Shares]]</f>
        <v>5957</v>
      </c>
      <c r="V20" t="str">
        <f>TEXT(Social_Media_Campaign_Data[[#This Row],[Date]],"mmmm")</f>
        <v>May</v>
      </c>
    </row>
    <row r="21" spans="1:22" x14ac:dyDescent="0.3">
      <c r="A21" s="1" t="s">
        <v>65</v>
      </c>
      <c r="B21" s="1" t="s">
        <v>63</v>
      </c>
      <c r="C21" s="1" t="s">
        <v>58</v>
      </c>
      <c r="D21" s="1" t="s">
        <v>29</v>
      </c>
      <c r="E21" s="1" t="s">
        <v>38</v>
      </c>
      <c r="F21" s="1" t="s">
        <v>25</v>
      </c>
      <c r="G21" s="2">
        <v>45816</v>
      </c>
      <c r="H21">
        <v>39807</v>
      </c>
      <c r="I21">
        <v>1789</v>
      </c>
      <c r="J21">
        <v>108</v>
      </c>
      <c r="K21">
        <v>4360</v>
      </c>
      <c r="L21">
        <v>102</v>
      </c>
      <c r="M21">
        <v>200</v>
      </c>
      <c r="N21">
        <v>35828</v>
      </c>
      <c r="O21">
        <v>1150.95</v>
      </c>
      <c r="P21">
        <v>2000.19</v>
      </c>
      <c r="Q21">
        <v>4.49</v>
      </c>
      <c r="R21">
        <v>6.04</v>
      </c>
      <c r="S21">
        <v>73.790000000000006</v>
      </c>
      <c r="T21">
        <v>13.01</v>
      </c>
      <c r="U21">
        <f>Social_Media_Campaign_Data[[#This Row],[Likes]]+Social_Media_Campaign_Data[[#This Row],[Comments]]+Social_Media_Campaign_Data[[#This Row],[Shares]]</f>
        <v>4662</v>
      </c>
      <c r="V21" t="str">
        <f>TEXT(Social_Media_Campaign_Data[[#This Row],[Date]],"mmmm")</f>
        <v>June</v>
      </c>
    </row>
    <row r="22" spans="1:22" x14ac:dyDescent="0.3">
      <c r="A22" s="1" t="s">
        <v>66</v>
      </c>
      <c r="B22" s="1" t="s">
        <v>32</v>
      </c>
      <c r="C22" s="1" t="s">
        <v>49</v>
      </c>
      <c r="D22" s="1" t="s">
        <v>33</v>
      </c>
      <c r="E22" s="1" t="s">
        <v>50</v>
      </c>
      <c r="F22" s="1" t="s">
        <v>42</v>
      </c>
      <c r="G22" s="2">
        <v>45829</v>
      </c>
      <c r="H22">
        <v>10372</v>
      </c>
      <c r="I22">
        <v>3934</v>
      </c>
      <c r="J22">
        <v>723</v>
      </c>
      <c r="K22">
        <v>4981</v>
      </c>
      <c r="L22">
        <v>598</v>
      </c>
      <c r="M22">
        <v>545</v>
      </c>
      <c r="N22">
        <v>92782</v>
      </c>
      <c r="O22">
        <v>3505.51</v>
      </c>
      <c r="P22">
        <v>8457.67</v>
      </c>
      <c r="Q22">
        <v>37.93</v>
      </c>
      <c r="R22">
        <v>18.38</v>
      </c>
      <c r="S22">
        <v>141.27000000000001</v>
      </c>
      <c r="T22">
        <v>6.6</v>
      </c>
      <c r="U22">
        <f>Social_Media_Campaign_Data[[#This Row],[Likes]]+Social_Media_Campaign_Data[[#This Row],[Comments]]+Social_Media_Campaign_Data[[#This Row],[Shares]]</f>
        <v>6124</v>
      </c>
      <c r="V22" t="str">
        <f>TEXT(Social_Media_Campaign_Data[[#This Row],[Date]],"mmmm")</f>
        <v>June</v>
      </c>
    </row>
    <row r="23" spans="1:22" x14ac:dyDescent="0.3">
      <c r="A23" s="1" t="s">
        <v>67</v>
      </c>
      <c r="B23" s="1" t="s">
        <v>21</v>
      </c>
      <c r="C23" s="1" t="s">
        <v>58</v>
      </c>
      <c r="D23" s="1" t="s">
        <v>29</v>
      </c>
      <c r="E23" s="1" t="s">
        <v>38</v>
      </c>
      <c r="F23" s="1" t="s">
        <v>47</v>
      </c>
      <c r="G23" s="2">
        <v>45691</v>
      </c>
      <c r="H23">
        <v>47303</v>
      </c>
      <c r="I23">
        <v>2957</v>
      </c>
      <c r="J23">
        <v>518</v>
      </c>
      <c r="K23">
        <v>2790</v>
      </c>
      <c r="L23">
        <v>789</v>
      </c>
      <c r="M23">
        <v>84</v>
      </c>
      <c r="N23">
        <v>78792</v>
      </c>
      <c r="O23">
        <v>588.5</v>
      </c>
      <c r="P23">
        <v>2162.1799999999998</v>
      </c>
      <c r="Q23">
        <v>6.25</v>
      </c>
      <c r="R23">
        <v>17.52</v>
      </c>
      <c r="S23">
        <v>267.41000000000003</v>
      </c>
      <c r="T23">
        <v>4.6500000000000004</v>
      </c>
      <c r="U23">
        <f>Social_Media_Campaign_Data[[#This Row],[Likes]]+Social_Media_Campaign_Data[[#This Row],[Comments]]+Social_Media_Campaign_Data[[#This Row],[Shares]]</f>
        <v>3663</v>
      </c>
      <c r="V23" t="str">
        <f>TEXT(Social_Media_Campaign_Data[[#This Row],[Date]],"mmmm")</f>
        <v>February</v>
      </c>
    </row>
    <row r="24" spans="1:22" x14ac:dyDescent="0.3">
      <c r="A24" s="1" t="s">
        <v>68</v>
      </c>
      <c r="B24" s="1" t="s">
        <v>69</v>
      </c>
      <c r="C24" s="1" t="s">
        <v>22</v>
      </c>
      <c r="D24" s="1" t="s">
        <v>29</v>
      </c>
      <c r="E24" s="1" t="s">
        <v>24</v>
      </c>
      <c r="F24" s="1" t="s">
        <v>47</v>
      </c>
      <c r="G24" s="2">
        <v>45827</v>
      </c>
      <c r="H24">
        <v>27872</v>
      </c>
      <c r="I24">
        <v>1063</v>
      </c>
      <c r="J24">
        <v>950</v>
      </c>
      <c r="K24">
        <v>2201</v>
      </c>
      <c r="L24">
        <v>398</v>
      </c>
      <c r="M24">
        <v>301</v>
      </c>
      <c r="N24">
        <v>97214</v>
      </c>
      <c r="O24">
        <v>1998.59</v>
      </c>
      <c r="P24">
        <v>8829.99</v>
      </c>
      <c r="Q24">
        <v>3.81</v>
      </c>
      <c r="R24">
        <v>89.37</v>
      </c>
      <c r="S24">
        <v>341.81</v>
      </c>
      <c r="T24">
        <v>2.98</v>
      </c>
      <c r="U24">
        <f>Social_Media_Campaign_Data[[#This Row],[Likes]]+Social_Media_Campaign_Data[[#This Row],[Comments]]+Social_Media_Campaign_Data[[#This Row],[Shares]]</f>
        <v>2900</v>
      </c>
      <c r="V24" t="str">
        <f>TEXT(Social_Media_Campaign_Data[[#This Row],[Date]],"mmmm")</f>
        <v>June</v>
      </c>
    </row>
    <row r="25" spans="1:22" x14ac:dyDescent="0.3">
      <c r="A25" s="1" t="s">
        <v>70</v>
      </c>
      <c r="B25" s="1" t="s">
        <v>32</v>
      </c>
      <c r="C25" s="1" t="s">
        <v>49</v>
      </c>
      <c r="D25" s="1" t="s">
        <v>33</v>
      </c>
      <c r="E25" s="1" t="s">
        <v>41</v>
      </c>
      <c r="F25" s="1" t="s">
        <v>34</v>
      </c>
      <c r="G25" s="2">
        <v>45722</v>
      </c>
      <c r="H25">
        <v>11788</v>
      </c>
      <c r="I25">
        <v>1600</v>
      </c>
      <c r="J25">
        <v>320</v>
      </c>
      <c r="K25">
        <v>1145</v>
      </c>
      <c r="L25">
        <v>129</v>
      </c>
      <c r="M25">
        <v>576</v>
      </c>
      <c r="N25">
        <v>32607</v>
      </c>
      <c r="O25">
        <v>1976.76</v>
      </c>
      <c r="P25">
        <v>4914.5200000000004</v>
      </c>
      <c r="Q25">
        <v>13.57</v>
      </c>
      <c r="R25">
        <v>20</v>
      </c>
      <c r="S25">
        <v>148.61000000000001</v>
      </c>
      <c r="T25">
        <v>5.67</v>
      </c>
      <c r="U25">
        <f>Social_Media_Campaign_Data[[#This Row],[Likes]]+Social_Media_Campaign_Data[[#This Row],[Comments]]+Social_Media_Campaign_Data[[#This Row],[Shares]]</f>
        <v>1850</v>
      </c>
      <c r="V25" t="str">
        <f>TEXT(Social_Media_Campaign_Data[[#This Row],[Date]],"mmmm")</f>
        <v>March</v>
      </c>
    </row>
    <row r="26" spans="1:22" x14ac:dyDescent="0.3">
      <c r="A26" s="1" t="s">
        <v>71</v>
      </c>
      <c r="B26" s="1" t="s">
        <v>69</v>
      </c>
      <c r="C26" s="1" t="s">
        <v>49</v>
      </c>
      <c r="D26" s="1" t="s">
        <v>23</v>
      </c>
      <c r="E26" s="1" t="s">
        <v>41</v>
      </c>
      <c r="F26" s="1" t="s">
        <v>34</v>
      </c>
      <c r="G26" s="2">
        <v>45801</v>
      </c>
      <c r="H26">
        <v>8329</v>
      </c>
      <c r="I26">
        <v>878</v>
      </c>
      <c r="J26">
        <v>699</v>
      </c>
      <c r="K26">
        <v>3669</v>
      </c>
      <c r="L26">
        <v>303</v>
      </c>
      <c r="M26">
        <v>55</v>
      </c>
      <c r="N26">
        <v>88507</v>
      </c>
      <c r="O26">
        <v>533.67999999999995</v>
      </c>
      <c r="P26">
        <v>2240.88</v>
      </c>
      <c r="Q26">
        <v>10.54</v>
      </c>
      <c r="R26">
        <v>79.61</v>
      </c>
      <c r="S26">
        <v>319.89</v>
      </c>
      <c r="T26">
        <v>4.55</v>
      </c>
      <c r="U26">
        <f>Social_Media_Campaign_Data[[#This Row],[Likes]]+Social_Media_Campaign_Data[[#This Row],[Comments]]+Social_Media_Campaign_Data[[#This Row],[Shares]]</f>
        <v>4027</v>
      </c>
      <c r="V26" t="str">
        <f>TEXT(Social_Media_Campaign_Data[[#This Row],[Date]],"mmmm")</f>
        <v>May</v>
      </c>
    </row>
    <row r="27" spans="1:22" x14ac:dyDescent="0.3">
      <c r="A27" s="1" t="s">
        <v>72</v>
      </c>
      <c r="B27" s="1" t="s">
        <v>63</v>
      </c>
      <c r="C27" s="1" t="s">
        <v>49</v>
      </c>
      <c r="D27" s="1" t="s">
        <v>37</v>
      </c>
      <c r="E27" s="1" t="s">
        <v>30</v>
      </c>
      <c r="F27" s="1" t="s">
        <v>47</v>
      </c>
      <c r="G27" s="2">
        <v>45668</v>
      </c>
      <c r="H27">
        <v>5633</v>
      </c>
      <c r="I27">
        <v>958</v>
      </c>
      <c r="J27">
        <v>127</v>
      </c>
      <c r="K27">
        <v>1421</v>
      </c>
      <c r="L27">
        <v>578</v>
      </c>
      <c r="M27">
        <v>46</v>
      </c>
      <c r="N27">
        <v>24410</v>
      </c>
      <c r="O27">
        <v>8428.65</v>
      </c>
      <c r="P27">
        <v>29827.17</v>
      </c>
      <c r="Q27">
        <v>17.010000000000002</v>
      </c>
      <c r="R27">
        <v>13.26</v>
      </c>
      <c r="S27">
        <v>253.88</v>
      </c>
      <c r="T27">
        <v>8.3800000000000008</v>
      </c>
      <c r="U27">
        <f>Social_Media_Campaign_Data[[#This Row],[Likes]]+Social_Media_Campaign_Data[[#This Row],[Comments]]+Social_Media_Campaign_Data[[#This Row],[Shares]]</f>
        <v>2045</v>
      </c>
      <c r="V27" t="str">
        <f>TEXT(Social_Media_Campaign_Data[[#This Row],[Date]],"mmmm")</f>
        <v>January</v>
      </c>
    </row>
    <row r="28" spans="1:22" x14ac:dyDescent="0.3">
      <c r="A28" s="1" t="s">
        <v>73</v>
      </c>
      <c r="B28" s="1" t="s">
        <v>46</v>
      </c>
      <c r="C28" s="1" t="s">
        <v>49</v>
      </c>
      <c r="D28" s="1" t="s">
        <v>40</v>
      </c>
      <c r="E28" s="1" t="s">
        <v>38</v>
      </c>
      <c r="F28" s="1" t="s">
        <v>34</v>
      </c>
      <c r="G28" s="2">
        <v>45664</v>
      </c>
      <c r="H28">
        <v>28449</v>
      </c>
      <c r="I28">
        <v>2220</v>
      </c>
      <c r="J28">
        <v>748</v>
      </c>
      <c r="K28">
        <v>2244</v>
      </c>
      <c r="L28">
        <v>702</v>
      </c>
      <c r="M28">
        <v>115</v>
      </c>
      <c r="N28">
        <v>58264</v>
      </c>
      <c r="O28">
        <v>3859.95</v>
      </c>
      <c r="P28">
        <v>13353.85</v>
      </c>
      <c r="Q28">
        <v>7.8</v>
      </c>
      <c r="R28">
        <v>33.69</v>
      </c>
      <c r="S28">
        <v>245.96</v>
      </c>
      <c r="T28">
        <v>5.25</v>
      </c>
      <c r="U28">
        <f>Social_Media_Campaign_Data[[#This Row],[Likes]]+Social_Media_Campaign_Data[[#This Row],[Comments]]+Social_Media_Campaign_Data[[#This Row],[Shares]]</f>
        <v>3061</v>
      </c>
      <c r="V28" t="str">
        <f>TEXT(Social_Media_Campaign_Data[[#This Row],[Date]],"mmmm")</f>
        <v>January</v>
      </c>
    </row>
    <row r="29" spans="1:22" x14ac:dyDescent="0.3">
      <c r="A29" s="1" t="s">
        <v>74</v>
      </c>
      <c r="B29" s="1" t="s">
        <v>63</v>
      </c>
      <c r="C29" s="1" t="s">
        <v>58</v>
      </c>
      <c r="D29" s="1" t="s">
        <v>23</v>
      </c>
      <c r="E29" s="1" t="s">
        <v>38</v>
      </c>
      <c r="F29" s="1" t="s">
        <v>42</v>
      </c>
      <c r="G29" s="2">
        <v>45775</v>
      </c>
      <c r="H29">
        <v>16754</v>
      </c>
      <c r="I29">
        <v>6533</v>
      </c>
      <c r="J29">
        <v>996</v>
      </c>
      <c r="K29">
        <v>2921</v>
      </c>
      <c r="L29">
        <v>441</v>
      </c>
      <c r="M29">
        <v>264</v>
      </c>
      <c r="N29">
        <v>19168</v>
      </c>
      <c r="O29">
        <v>3034.65</v>
      </c>
      <c r="P29">
        <v>12914.9</v>
      </c>
      <c r="Q29">
        <v>38.99</v>
      </c>
      <c r="R29">
        <v>15.25</v>
      </c>
      <c r="S29">
        <v>325.58</v>
      </c>
      <c r="T29">
        <v>18.920000000000002</v>
      </c>
      <c r="U29">
        <f>Social_Media_Campaign_Data[[#This Row],[Likes]]+Social_Media_Campaign_Data[[#This Row],[Comments]]+Social_Media_Campaign_Data[[#This Row],[Shares]]</f>
        <v>3626</v>
      </c>
      <c r="V29" t="str">
        <f>TEXT(Social_Media_Campaign_Data[[#This Row],[Date]],"mmmm")</f>
        <v>April</v>
      </c>
    </row>
    <row r="30" spans="1:22" x14ac:dyDescent="0.3">
      <c r="A30" s="1" t="s">
        <v>75</v>
      </c>
      <c r="B30" s="1" t="s">
        <v>21</v>
      </c>
      <c r="C30" s="1" t="s">
        <v>36</v>
      </c>
      <c r="D30" s="1" t="s">
        <v>33</v>
      </c>
      <c r="E30" s="1" t="s">
        <v>41</v>
      </c>
      <c r="F30" s="1" t="s">
        <v>34</v>
      </c>
      <c r="G30" s="2">
        <v>45831</v>
      </c>
      <c r="H30">
        <v>27915</v>
      </c>
      <c r="I30">
        <v>3000</v>
      </c>
      <c r="J30">
        <v>890</v>
      </c>
      <c r="K30">
        <v>2064</v>
      </c>
      <c r="L30">
        <v>248</v>
      </c>
      <c r="M30">
        <v>34</v>
      </c>
      <c r="N30">
        <v>41517</v>
      </c>
      <c r="O30">
        <v>6770.32</v>
      </c>
      <c r="P30">
        <v>19597.580000000002</v>
      </c>
      <c r="Q30">
        <v>10.75</v>
      </c>
      <c r="R30">
        <v>29.67</v>
      </c>
      <c r="S30">
        <v>189.46</v>
      </c>
      <c r="T30">
        <v>5.65</v>
      </c>
      <c r="U30">
        <f>Social_Media_Campaign_Data[[#This Row],[Likes]]+Social_Media_Campaign_Data[[#This Row],[Comments]]+Social_Media_Campaign_Data[[#This Row],[Shares]]</f>
        <v>2346</v>
      </c>
      <c r="V30" t="str">
        <f>TEXT(Social_Media_Campaign_Data[[#This Row],[Date]],"mmmm")</f>
        <v>June</v>
      </c>
    </row>
    <row r="31" spans="1:22" x14ac:dyDescent="0.3">
      <c r="A31" s="1" t="s">
        <v>76</v>
      </c>
      <c r="B31" s="1" t="s">
        <v>21</v>
      </c>
      <c r="C31" s="1" t="s">
        <v>22</v>
      </c>
      <c r="D31" s="1" t="s">
        <v>23</v>
      </c>
      <c r="E31" s="1" t="s">
        <v>30</v>
      </c>
      <c r="F31" s="1" t="s">
        <v>47</v>
      </c>
      <c r="G31" s="2">
        <v>45769</v>
      </c>
      <c r="H31">
        <v>40141</v>
      </c>
      <c r="I31">
        <v>3212</v>
      </c>
      <c r="J31">
        <v>78</v>
      </c>
      <c r="K31">
        <v>1144</v>
      </c>
      <c r="L31">
        <v>287</v>
      </c>
      <c r="M31">
        <v>192</v>
      </c>
      <c r="N31">
        <v>10014</v>
      </c>
      <c r="O31">
        <v>6015.6</v>
      </c>
      <c r="P31">
        <v>29731.66</v>
      </c>
      <c r="Q31">
        <v>8</v>
      </c>
      <c r="R31">
        <v>2.4300000000000002</v>
      </c>
      <c r="S31">
        <v>394.24</v>
      </c>
      <c r="T31">
        <v>16.21</v>
      </c>
      <c r="U31">
        <f>Social_Media_Campaign_Data[[#This Row],[Likes]]+Social_Media_Campaign_Data[[#This Row],[Comments]]+Social_Media_Campaign_Data[[#This Row],[Shares]]</f>
        <v>1623</v>
      </c>
      <c r="V31" t="str">
        <f>TEXT(Social_Media_Campaign_Data[[#This Row],[Date]],"mmmm")</f>
        <v>April</v>
      </c>
    </row>
    <row r="32" spans="1:22" x14ac:dyDescent="0.3">
      <c r="A32" s="1" t="s">
        <v>77</v>
      </c>
      <c r="B32" s="1" t="s">
        <v>27</v>
      </c>
      <c r="C32" s="1" t="s">
        <v>36</v>
      </c>
      <c r="D32" s="1" t="s">
        <v>23</v>
      </c>
      <c r="E32" s="1" t="s">
        <v>24</v>
      </c>
      <c r="F32" s="1" t="s">
        <v>47</v>
      </c>
      <c r="G32" s="2">
        <v>45817</v>
      </c>
      <c r="H32">
        <v>44728</v>
      </c>
      <c r="I32">
        <v>4689</v>
      </c>
      <c r="J32">
        <v>168</v>
      </c>
      <c r="K32">
        <v>3355</v>
      </c>
      <c r="L32">
        <v>610</v>
      </c>
      <c r="M32">
        <v>204</v>
      </c>
      <c r="N32">
        <v>5221</v>
      </c>
      <c r="O32">
        <v>2919.86</v>
      </c>
      <c r="P32">
        <v>11623.23</v>
      </c>
      <c r="Q32">
        <v>10.48</v>
      </c>
      <c r="R32">
        <v>3.58</v>
      </c>
      <c r="S32">
        <v>298.07</v>
      </c>
      <c r="T32">
        <v>79.849999999999994</v>
      </c>
      <c r="U32">
        <f>Social_Media_Campaign_Data[[#This Row],[Likes]]+Social_Media_Campaign_Data[[#This Row],[Comments]]+Social_Media_Campaign_Data[[#This Row],[Shares]]</f>
        <v>4169</v>
      </c>
      <c r="V32" t="str">
        <f>TEXT(Social_Media_Campaign_Data[[#This Row],[Date]],"mmmm")</f>
        <v>June</v>
      </c>
    </row>
    <row r="33" spans="1:22" x14ac:dyDescent="0.3">
      <c r="A33" s="1" t="s">
        <v>78</v>
      </c>
      <c r="B33" s="1" t="s">
        <v>63</v>
      </c>
      <c r="C33" s="1" t="s">
        <v>36</v>
      </c>
      <c r="D33" s="1" t="s">
        <v>29</v>
      </c>
      <c r="E33" s="1" t="s">
        <v>38</v>
      </c>
      <c r="F33" s="1" t="s">
        <v>42</v>
      </c>
      <c r="G33" s="2">
        <v>45765</v>
      </c>
      <c r="H33">
        <v>25572</v>
      </c>
      <c r="I33">
        <v>5934</v>
      </c>
      <c r="J33">
        <v>918</v>
      </c>
      <c r="K33">
        <v>1220</v>
      </c>
      <c r="L33">
        <v>757</v>
      </c>
      <c r="M33">
        <v>317</v>
      </c>
      <c r="N33">
        <v>47753</v>
      </c>
      <c r="O33">
        <v>5317.66</v>
      </c>
      <c r="P33">
        <v>20388.57</v>
      </c>
      <c r="Q33">
        <v>23.21</v>
      </c>
      <c r="R33">
        <v>15.47</v>
      </c>
      <c r="S33">
        <v>283.41000000000003</v>
      </c>
      <c r="T33">
        <v>4.8</v>
      </c>
      <c r="U33">
        <f>Social_Media_Campaign_Data[[#This Row],[Likes]]+Social_Media_Campaign_Data[[#This Row],[Comments]]+Social_Media_Campaign_Data[[#This Row],[Shares]]</f>
        <v>2294</v>
      </c>
      <c r="V33" t="str">
        <f>TEXT(Social_Media_Campaign_Data[[#This Row],[Date]],"mmmm")</f>
        <v>April</v>
      </c>
    </row>
    <row r="34" spans="1:22" x14ac:dyDescent="0.3">
      <c r="A34" s="1" t="s">
        <v>79</v>
      </c>
      <c r="B34" s="1" t="s">
        <v>69</v>
      </c>
      <c r="C34" s="1" t="s">
        <v>36</v>
      </c>
      <c r="D34" s="1" t="s">
        <v>40</v>
      </c>
      <c r="E34" s="1" t="s">
        <v>50</v>
      </c>
      <c r="F34" s="1" t="s">
        <v>47</v>
      </c>
      <c r="G34" s="2">
        <v>45777</v>
      </c>
      <c r="H34">
        <v>48576</v>
      </c>
      <c r="I34">
        <v>3605</v>
      </c>
      <c r="J34">
        <v>743</v>
      </c>
      <c r="K34">
        <v>1625</v>
      </c>
      <c r="L34">
        <v>650</v>
      </c>
      <c r="M34">
        <v>592</v>
      </c>
      <c r="N34">
        <v>5053</v>
      </c>
      <c r="O34">
        <v>3359.02</v>
      </c>
      <c r="P34">
        <v>11480.39</v>
      </c>
      <c r="Q34">
        <v>7.42</v>
      </c>
      <c r="R34">
        <v>20.61</v>
      </c>
      <c r="S34">
        <v>241.78</v>
      </c>
      <c r="T34">
        <v>56.74</v>
      </c>
      <c r="U34">
        <f>Social_Media_Campaign_Data[[#This Row],[Likes]]+Social_Media_Campaign_Data[[#This Row],[Comments]]+Social_Media_Campaign_Data[[#This Row],[Shares]]</f>
        <v>2867</v>
      </c>
      <c r="V34" t="str">
        <f>TEXT(Social_Media_Campaign_Data[[#This Row],[Date]],"mmmm")</f>
        <v>April</v>
      </c>
    </row>
    <row r="35" spans="1:22" x14ac:dyDescent="0.3">
      <c r="A35" s="1" t="s">
        <v>80</v>
      </c>
      <c r="B35" s="1" t="s">
        <v>21</v>
      </c>
      <c r="C35" s="1" t="s">
        <v>36</v>
      </c>
      <c r="D35" s="1" t="s">
        <v>29</v>
      </c>
      <c r="E35" s="1" t="s">
        <v>41</v>
      </c>
      <c r="F35" s="1" t="s">
        <v>47</v>
      </c>
      <c r="G35" s="2">
        <v>45681</v>
      </c>
      <c r="H35">
        <v>33952</v>
      </c>
      <c r="I35">
        <v>4122</v>
      </c>
      <c r="J35">
        <v>741</v>
      </c>
      <c r="K35">
        <v>1950</v>
      </c>
      <c r="L35">
        <v>543</v>
      </c>
      <c r="M35">
        <v>494</v>
      </c>
      <c r="N35">
        <v>27241</v>
      </c>
      <c r="O35">
        <v>8040.49</v>
      </c>
      <c r="P35">
        <v>39072.050000000003</v>
      </c>
      <c r="Q35">
        <v>12.14</v>
      </c>
      <c r="R35">
        <v>17.98</v>
      </c>
      <c r="S35">
        <v>385.94</v>
      </c>
      <c r="T35">
        <v>10.97</v>
      </c>
      <c r="U35">
        <f>Social_Media_Campaign_Data[[#This Row],[Likes]]+Social_Media_Campaign_Data[[#This Row],[Comments]]+Social_Media_Campaign_Data[[#This Row],[Shares]]</f>
        <v>2987</v>
      </c>
      <c r="V35" t="str">
        <f>TEXT(Social_Media_Campaign_Data[[#This Row],[Date]],"mmmm")</f>
        <v>January</v>
      </c>
    </row>
    <row r="36" spans="1:22" x14ac:dyDescent="0.3">
      <c r="A36" s="1" t="s">
        <v>81</v>
      </c>
      <c r="B36" s="1" t="s">
        <v>21</v>
      </c>
      <c r="C36" s="1" t="s">
        <v>28</v>
      </c>
      <c r="D36" s="1" t="s">
        <v>23</v>
      </c>
      <c r="E36" s="1" t="s">
        <v>41</v>
      </c>
      <c r="F36" s="1" t="s">
        <v>42</v>
      </c>
      <c r="G36" s="2">
        <v>45836</v>
      </c>
      <c r="H36">
        <v>20392</v>
      </c>
      <c r="I36">
        <v>6011</v>
      </c>
      <c r="J36">
        <v>367</v>
      </c>
      <c r="K36">
        <v>2040</v>
      </c>
      <c r="L36">
        <v>223</v>
      </c>
      <c r="M36">
        <v>160</v>
      </c>
      <c r="N36">
        <v>67277</v>
      </c>
      <c r="O36">
        <v>732.04</v>
      </c>
      <c r="P36">
        <v>1725.38</v>
      </c>
      <c r="Q36">
        <v>29.48</v>
      </c>
      <c r="R36">
        <v>6.11</v>
      </c>
      <c r="S36">
        <v>135.69</v>
      </c>
      <c r="T36">
        <v>3.6</v>
      </c>
      <c r="U36">
        <f>Social_Media_Campaign_Data[[#This Row],[Likes]]+Social_Media_Campaign_Data[[#This Row],[Comments]]+Social_Media_Campaign_Data[[#This Row],[Shares]]</f>
        <v>2423</v>
      </c>
      <c r="V36" t="str">
        <f>TEXT(Social_Media_Campaign_Data[[#This Row],[Date]],"mmmm")</f>
        <v>June</v>
      </c>
    </row>
    <row r="37" spans="1:22" x14ac:dyDescent="0.3">
      <c r="A37" s="1" t="s">
        <v>82</v>
      </c>
      <c r="B37" s="1" t="s">
        <v>63</v>
      </c>
      <c r="C37" s="1" t="s">
        <v>49</v>
      </c>
      <c r="D37" s="1" t="s">
        <v>40</v>
      </c>
      <c r="E37" s="1" t="s">
        <v>41</v>
      </c>
      <c r="F37" s="1" t="s">
        <v>34</v>
      </c>
      <c r="G37" s="2">
        <v>45670</v>
      </c>
      <c r="H37">
        <v>30164</v>
      </c>
      <c r="I37">
        <v>4549</v>
      </c>
      <c r="J37">
        <v>459</v>
      </c>
      <c r="K37">
        <v>2198</v>
      </c>
      <c r="L37">
        <v>171</v>
      </c>
      <c r="M37">
        <v>15</v>
      </c>
      <c r="N37">
        <v>18970</v>
      </c>
      <c r="O37">
        <v>8980.27</v>
      </c>
      <c r="P37">
        <v>40514.870000000003</v>
      </c>
      <c r="Q37">
        <v>15.08</v>
      </c>
      <c r="R37">
        <v>10.09</v>
      </c>
      <c r="S37">
        <v>351.15</v>
      </c>
      <c r="T37">
        <v>12.57</v>
      </c>
      <c r="U37">
        <f>Social_Media_Campaign_Data[[#This Row],[Likes]]+Social_Media_Campaign_Data[[#This Row],[Comments]]+Social_Media_Campaign_Data[[#This Row],[Shares]]</f>
        <v>2384</v>
      </c>
      <c r="V37" t="str">
        <f>TEXT(Social_Media_Campaign_Data[[#This Row],[Date]],"mmmm")</f>
        <v>January</v>
      </c>
    </row>
    <row r="38" spans="1:22" x14ac:dyDescent="0.3">
      <c r="A38" s="1" t="s">
        <v>83</v>
      </c>
      <c r="B38" s="1" t="s">
        <v>32</v>
      </c>
      <c r="C38" s="1" t="s">
        <v>28</v>
      </c>
      <c r="D38" s="1" t="s">
        <v>29</v>
      </c>
      <c r="E38" s="1" t="s">
        <v>41</v>
      </c>
      <c r="F38" s="1" t="s">
        <v>34</v>
      </c>
      <c r="G38" s="2">
        <v>45798</v>
      </c>
      <c r="H38">
        <v>41530</v>
      </c>
      <c r="I38">
        <v>2541</v>
      </c>
      <c r="J38">
        <v>989</v>
      </c>
      <c r="K38">
        <v>1194</v>
      </c>
      <c r="L38">
        <v>487</v>
      </c>
      <c r="M38">
        <v>146</v>
      </c>
      <c r="N38">
        <v>78259</v>
      </c>
      <c r="O38">
        <v>8113.46</v>
      </c>
      <c r="P38">
        <v>31127.47</v>
      </c>
      <c r="Q38">
        <v>6.12</v>
      </c>
      <c r="R38">
        <v>38.92</v>
      </c>
      <c r="S38">
        <v>283.64999999999998</v>
      </c>
      <c r="T38">
        <v>2.33</v>
      </c>
      <c r="U38">
        <f>Social_Media_Campaign_Data[[#This Row],[Likes]]+Social_Media_Campaign_Data[[#This Row],[Comments]]+Social_Media_Campaign_Data[[#This Row],[Shares]]</f>
        <v>1827</v>
      </c>
      <c r="V38" t="str">
        <f>TEXT(Social_Media_Campaign_Data[[#This Row],[Date]],"mmmm")</f>
        <v>May</v>
      </c>
    </row>
    <row r="39" spans="1:22" x14ac:dyDescent="0.3">
      <c r="A39" s="1" t="s">
        <v>84</v>
      </c>
      <c r="B39" s="1" t="s">
        <v>56</v>
      </c>
      <c r="C39" s="1" t="s">
        <v>49</v>
      </c>
      <c r="D39" s="1" t="s">
        <v>33</v>
      </c>
      <c r="E39" s="1" t="s">
        <v>50</v>
      </c>
      <c r="F39" s="1" t="s">
        <v>25</v>
      </c>
      <c r="G39" s="2">
        <v>45731</v>
      </c>
      <c r="H39">
        <v>34223</v>
      </c>
      <c r="I39">
        <v>1803</v>
      </c>
      <c r="J39">
        <v>811</v>
      </c>
      <c r="K39">
        <v>4088</v>
      </c>
      <c r="L39">
        <v>480</v>
      </c>
      <c r="M39">
        <v>275</v>
      </c>
      <c r="N39">
        <v>41347</v>
      </c>
      <c r="O39">
        <v>7641.88</v>
      </c>
      <c r="P39">
        <v>33926.28</v>
      </c>
      <c r="Q39">
        <v>5.27</v>
      </c>
      <c r="R39">
        <v>44.98</v>
      </c>
      <c r="S39">
        <v>343.95</v>
      </c>
      <c r="T39">
        <v>11.71</v>
      </c>
      <c r="U39">
        <f>Social_Media_Campaign_Data[[#This Row],[Likes]]+Social_Media_Campaign_Data[[#This Row],[Comments]]+Social_Media_Campaign_Data[[#This Row],[Shares]]</f>
        <v>4843</v>
      </c>
      <c r="V39" t="str">
        <f>TEXT(Social_Media_Campaign_Data[[#This Row],[Date]],"mmmm")</f>
        <v>March</v>
      </c>
    </row>
    <row r="40" spans="1:22" x14ac:dyDescent="0.3">
      <c r="A40" s="1" t="s">
        <v>85</v>
      </c>
      <c r="B40" s="1" t="s">
        <v>46</v>
      </c>
      <c r="C40" s="1" t="s">
        <v>49</v>
      </c>
      <c r="D40" s="1" t="s">
        <v>37</v>
      </c>
      <c r="E40" s="1" t="s">
        <v>50</v>
      </c>
      <c r="F40" s="1" t="s">
        <v>34</v>
      </c>
      <c r="G40" s="2">
        <v>45742</v>
      </c>
      <c r="H40">
        <v>20367</v>
      </c>
      <c r="I40">
        <v>2725</v>
      </c>
      <c r="J40">
        <v>393</v>
      </c>
      <c r="K40">
        <v>2819</v>
      </c>
      <c r="L40">
        <v>573</v>
      </c>
      <c r="M40">
        <v>92</v>
      </c>
      <c r="N40">
        <v>95957</v>
      </c>
      <c r="O40">
        <v>1814.55</v>
      </c>
      <c r="P40">
        <v>4190.55</v>
      </c>
      <c r="Q40">
        <v>13.38</v>
      </c>
      <c r="R40">
        <v>14.42</v>
      </c>
      <c r="S40">
        <v>130.94</v>
      </c>
      <c r="T40">
        <v>3.63</v>
      </c>
      <c r="U40">
        <f>Social_Media_Campaign_Data[[#This Row],[Likes]]+Social_Media_Campaign_Data[[#This Row],[Comments]]+Social_Media_Campaign_Data[[#This Row],[Shares]]</f>
        <v>3484</v>
      </c>
      <c r="V40" t="str">
        <f>TEXT(Social_Media_Campaign_Data[[#This Row],[Date]],"mmmm")</f>
        <v>March</v>
      </c>
    </row>
    <row r="41" spans="1:22" x14ac:dyDescent="0.3">
      <c r="A41" s="1" t="s">
        <v>86</v>
      </c>
      <c r="B41" s="1" t="s">
        <v>44</v>
      </c>
      <c r="C41" s="1" t="s">
        <v>22</v>
      </c>
      <c r="D41" s="1" t="s">
        <v>23</v>
      </c>
      <c r="E41" s="1" t="s">
        <v>50</v>
      </c>
      <c r="F41" s="1" t="s">
        <v>25</v>
      </c>
      <c r="G41" s="2">
        <v>45748</v>
      </c>
      <c r="H41">
        <v>40560</v>
      </c>
      <c r="I41">
        <v>4316</v>
      </c>
      <c r="J41">
        <v>475</v>
      </c>
      <c r="K41">
        <v>710</v>
      </c>
      <c r="L41">
        <v>231</v>
      </c>
      <c r="M41">
        <v>440</v>
      </c>
      <c r="N41">
        <v>96163</v>
      </c>
      <c r="O41">
        <v>4200.03</v>
      </c>
      <c r="P41">
        <v>17616.12</v>
      </c>
      <c r="Q41">
        <v>10.64</v>
      </c>
      <c r="R41">
        <v>11.01</v>
      </c>
      <c r="S41">
        <v>319.43</v>
      </c>
      <c r="T41">
        <v>1.44</v>
      </c>
      <c r="U41">
        <f>Social_Media_Campaign_Data[[#This Row],[Likes]]+Social_Media_Campaign_Data[[#This Row],[Comments]]+Social_Media_Campaign_Data[[#This Row],[Shares]]</f>
        <v>1381</v>
      </c>
      <c r="V41" t="str">
        <f>TEXT(Social_Media_Campaign_Data[[#This Row],[Date]],"mmmm")</f>
        <v>April</v>
      </c>
    </row>
    <row r="42" spans="1:22" x14ac:dyDescent="0.3">
      <c r="A42" s="1" t="s">
        <v>87</v>
      </c>
      <c r="B42" s="1" t="s">
        <v>27</v>
      </c>
      <c r="C42" s="1" t="s">
        <v>36</v>
      </c>
      <c r="D42" s="1" t="s">
        <v>23</v>
      </c>
      <c r="E42" s="1" t="s">
        <v>50</v>
      </c>
      <c r="F42" s="1" t="s">
        <v>25</v>
      </c>
      <c r="G42" s="2">
        <v>45757</v>
      </c>
      <c r="H42">
        <v>24569</v>
      </c>
      <c r="I42">
        <v>6672</v>
      </c>
      <c r="J42">
        <v>449</v>
      </c>
      <c r="K42">
        <v>3632</v>
      </c>
      <c r="L42">
        <v>571</v>
      </c>
      <c r="M42">
        <v>569</v>
      </c>
      <c r="N42">
        <v>68993</v>
      </c>
      <c r="O42">
        <v>8098.75</v>
      </c>
      <c r="P42">
        <v>37597.15</v>
      </c>
      <c r="Q42">
        <v>27.16</v>
      </c>
      <c r="R42">
        <v>6.73</v>
      </c>
      <c r="S42">
        <v>364.23</v>
      </c>
      <c r="T42">
        <v>6.92</v>
      </c>
      <c r="U42">
        <f>Social_Media_Campaign_Data[[#This Row],[Likes]]+Social_Media_Campaign_Data[[#This Row],[Comments]]+Social_Media_Campaign_Data[[#This Row],[Shares]]</f>
        <v>4772</v>
      </c>
      <c r="V42" t="str">
        <f>TEXT(Social_Media_Campaign_Data[[#This Row],[Date]],"mmmm")</f>
        <v>April</v>
      </c>
    </row>
    <row r="43" spans="1:22" x14ac:dyDescent="0.3">
      <c r="A43" s="1" t="s">
        <v>88</v>
      </c>
      <c r="B43" s="1" t="s">
        <v>44</v>
      </c>
      <c r="C43" s="1" t="s">
        <v>28</v>
      </c>
      <c r="D43" s="1" t="s">
        <v>29</v>
      </c>
      <c r="E43" s="1" t="s">
        <v>41</v>
      </c>
      <c r="F43" s="1" t="s">
        <v>25</v>
      </c>
      <c r="G43" s="2">
        <v>45679</v>
      </c>
      <c r="H43">
        <v>27028</v>
      </c>
      <c r="I43">
        <v>5979</v>
      </c>
      <c r="J43">
        <v>745</v>
      </c>
      <c r="K43">
        <v>3512</v>
      </c>
      <c r="L43">
        <v>761</v>
      </c>
      <c r="M43">
        <v>179</v>
      </c>
      <c r="N43">
        <v>86560</v>
      </c>
      <c r="O43">
        <v>8484.7999999999993</v>
      </c>
      <c r="P43">
        <v>40034.639999999999</v>
      </c>
      <c r="Q43">
        <v>22.12</v>
      </c>
      <c r="R43">
        <v>12.46</v>
      </c>
      <c r="S43">
        <v>371.84</v>
      </c>
      <c r="T43">
        <v>5.14</v>
      </c>
      <c r="U43">
        <f>Social_Media_Campaign_Data[[#This Row],[Likes]]+Social_Media_Campaign_Data[[#This Row],[Comments]]+Social_Media_Campaign_Data[[#This Row],[Shares]]</f>
        <v>4452</v>
      </c>
      <c r="V43" t="str">
        <f>TEXT(Social_Media_Campaign_Data[[#This Row],[Date]],"mmmm")</f>
        <v>January</v>
      </c>
    </row>
    <row r="44" spans="1:22" x14ac:dyDescent="0.3">
      <c r="A44" s="1" t="s">
        <v>89</v>
      </c>
      <c r="B44" s="1" t="s">
        <v>32</v>
      </c>
      <c r="C44" s="1" t="s">
        <v>36</v>
      </c>
      <c r="D44" s="1" t="s">
        <v>23</v>
      </c>
      <c r="E44" s="1" t="s">
        <v>30</v>
      </c>
      <c r="F44" s="1" t="s">
        <v>34</v>
      </c>
      <c r="G44" s="2">
        <v>45722</v>
      </c>
      <c r="H44">
        <v>47123</v>
      </c>
      <c r="I44">
        <v>4011</v>
      </c>
      <c r="J44">
        <v>188</v>
      </c>
      <c r="K44">
        <v>3982</v>
      </c>
      <c r="L44">
        <v>206</v>
      </c>
      <c r="M44">
        <v>61</v>
      </c>
      <c r="N44">
        <v>64598</v>
      </c>
      <c r="O44">
        <v>2971.48</v>
      </c>
      <c r="P44">
        <v>7861.75</v>
      </c>
      <c r="Q44">
        <v>8.51</v>
      </c>
      <c r="R44">
        <v>4.6900000000000004</v>
      </c>
      <c r="S44">
        <v>164.57</v>
      </c>
      <c r="T44">
        <v>6.58</v>
      </c>
      <c r="U44">
        <f>Social_Media_Campaign_Data[[#This Row],[Likes]]+Social_Media_Campaign_Data[[#This Row],[Comments]]+Social_Media_Campaign_Data[[#This Row],[Shares]]</f>
        <v>4249</v>
      </c>
      <c r="V44" t="str">
        <f>TEXT(Social_Media_Campaign_Data[[#This Row],[Date]],"mmmm")</f>
        <v>March</v>
      </c>
    </row>
    <row r="45" spans="1:22" x14ac:dyDescent="0.3">
      <c r="A45" s="1" t="s">
        <v>90</v>
      </c>
      <c r="B45" s="1" t="s">
        <v>44</v>
      </c>
      <c r="C45" s="1" t="s">
        <v>58</v>
      </c>
      <c r="D45" s="1" t="s">
        <v>40</v>
      </c>
      <c r="E45" s="1" t="s">
        <v>38</v>
      </c>
      <c r="F45" s="1" t="s">
        <v>25</v>
      </c>
      <c r="G45" s="2">
        <v>45817</v>
      </c>
      <c r="H45">
        <v>10367</v>
      </c>
      <c r="I45">
        <v>4352</v>
      </c>
      <c r="J45">
        <v>69</v>
      </c>
      <c r="K45">
        <v>4618</v>
      </c>
      <c r="L45">
        <v>73</v>
      </c>
      <c r="M45">
        <v>368</v>
      </c>
      <c r="N45">
        <v>90426</v>
      </c>
      <c r="O45">
        <v>2630.11</v>
      </c>
      <c r="P45">
        <v>4576.82</v>
      </c>
      <c r="Q45">
        <v>41.98</v>
      </c>
      <c r="R45">
        <v>1.59</v>
      </c>
      <c r="S45">
        <v>74.02</v>
      </c>
      <c r="T45">
        <v>5.59</v>
      </c>
      <c r="U45">
        <f>Social_Media_Campaign_Data[[#This Row],[Likes]]+Social_Media_Campaign_Data[[#This Row],[Comments]]+Social_Media_Campaign_Data[[#This Row],[Shares]]</f>
        <v>5059</v>
      </c>
      <c r="V45" t="str">
        <f>TEXT(Social_Media_Campaign_Data[[#This Row],[Date]],"mmmm")</f>
        <v>June</v>
      </c>
    </row>
    <row r="46" spans="1:22" x14ac:dyDescent="0.3">
      <c r="A46" s="1" t="s">
        <v>91</v>
      </c>
      <c r="B46" s="1" t="s">
        <v>69</v>
      </c>
      <c r="C46" s="1" t="s">
        <v>36</v>
      </c>
      <c r="D46" s="1" t="s">
        <v>40</v>
      </c>
      <c r="E46" s="1" t="s">
        <v>41</v>
      </c>
      <c r="F46" s="1" t="s">
        <v>25</v>
      </c>
      <c r="G46" s="2">
        <v>45699</v>
      </c>
      <c r="H46">
        <v>14986</v>
      </c>
      <c r="I46">
        <v>2454</v>
      </c>
      <c r="J46">
        <v>179</v>
      </c>
      <c r="K46">
        <v>4079</v>
      </c>
      <c r="L46">
        <v>705</v>
      </c>
      <c r="M46">
        <v>127</v>
      </c>
      <c r="N46">
        <v>96680</v>
      </c>
      <c r="O46">
        <v>5857.71</v>
      </c>
      <c r="P46">
        <v>13255.27</v>
      </c>
      <c r="Q46">
        <v>16.38</v>
      </c>
      <c r="R46">
        <v>7.29</v>
      </c>
      <c r="S46">
        <v>126.29</v>
      </c>
      <c r="T46">
        <v>5.08</v>
      </c>
      <c r="U46">
        <f>Social_Media_Campaign_Data[[#This Row],[Likes]]+Social_Media_Campaign_Data[[#This Row],[Comments]]+Social_Media_Campaign_Data[[#This Row],[Shares]]</f>
        <v>4911</v>
      </c>
      <c r="V46" t="str">
        <f>TEXT(Social_Media_Campaign_Data[[#This Row],[Date]],"mmmm")</f>
        <v>February</v>
      </c>
    </row>
    <row r="47" spans="1:22" x14ac:dyDescent="0.3">
      <c r="A47" s="1" t="s">
        <v>92</v>
      </c>
      <c r="B47" s="1" t="s">
        <v>27</v>
      </c>
      <c r="C47" s="1" t="s">
        <v>58</v>
      </c>
      <c r="D47" s="1" t="s">
        <v>29</v>
      </c>
      <c r="E47" s="1" t="s">
        <v>38</v>
      </c>
      <c r="F47" s="1" t="s">
        <v>25</v>
      </c>
      <c r="G47" s="2">
        <v>45836</v>
      </c>
      <c r="H47">
        <v>25384</v>
      </c>
      <c r="I47">
        <v>1385</v>
      </c>
      <c r="J47">
        <v>642</v>
      </c>
      <c r="K47">
        <v>410</v>
      </c>
      <c r="L47">
        <v>339</v>
      </c>
      <c r="M47">
        <v>599</v>
      </c>
      <c r="N47">
        <v>56990</v>
      </c>
      <c r="O47">
        <v>6934.8</v>
      </c>
      <c r="P47">
        <v>33658.78</v>
      </c>
      <c r="Q47">
        <v>5.46</v>
      </c>
      <c r="R47">
        <v>46.35</v>
      </c>
      <c r="S47">
        <v>385.36</v>
      </c>
      <c r="T47">
        <v>2.37</v>
      </c>
      <c r="U47">
        <f>Social_Media_Campaign_Data[[#This Row],[Likes]]+Social_Media_Campaign_Data[[#This Row],[Comments]]+Social_Media_Campaign_Data[[#This Row],[Shares]]</f>
        <v>1348</v>
      </c>
      <c r="V47" t="str">
        <f>TEXT(Social_Media_Campaign_Data[[#This Row],[Date]],"mmmm")</f>
        <v>June</v>
      </c>
    </row>
    <row r="48" spans="1:22" x14ac:dyDescent="0.3">
      <c r="A48" s="1" t="s">
        <v>93</v>
      </c>
      <c r="B48" s="1" t="s">
        <v>21</v>
      </c>
      <c r="C48" s="1" t="s">
        <v>22</v>
      </c>
      <c r="D48" s="1" t="s">
        <v>33</v>
      </c>
      <c r="E48" s="1" t="s">
        <v>24</v>
      </c>
      <c r="F48" s="1" t="s">
        <v>34</v>
      </c>
      <c r="G48" s="2">
        <v>45783</v>
      </c>
      <c r="H48">
        <v>24764</v>
      </c>
      <c r="I48">
        <v>6105</v>
      </c>
      <c r="J48">
        <v>664</v>
      </c>
      <c r="K48">
        <v>1191</v>
      </c>
      <c r="L48">
        <v>599</v>
      </c>
      <c r="M48">
        <v>52</v>
      </c>
      <c r="N48">
        <v>53571</v>
      </c>
      <c r="O48">
        <v>3798.44</v>
      </c>
      <c r="P48">
        <v>11392.75</v>
      </c>
      <c r="Q48">
        <v>24.65</v>
      </c>
      <c r="R48">
        <v>10.88</v>
      </c>
      <c r="S48">
        <v>199.93</v>
      </c>
      <c r="T48">
        <v>3.44</v>
      </c>
      <c r="U48">
        <f>Social_Media_Campaign_Data[[#This Row],[Likes]]+Social_Media_Campaign_Data[[#This Row],[Comments]]+Social_Media_Campaign_Data[[#This Row],[Shares]]</f>
        <v>1842</v>
      </c>
      <c r="V48" t="str">
        <f>TEXT(Social_Media_Campaign_Data[[#This Row],[Date]],"mmmm")</f>
        <v>May</v>
      </c>
    </row>
    <row r="49" spans="1:22" x14ac:dyDescent="0.3">
      <c r="A49" s="1" t="s">
        <v>94</v>
      </c>
      <c r="B49" s="1" t="s">
        <v>69</v>
      </c>
      <c r="C49" s="1" t="s">
        <v>22</v>
      </c>
      <c r="D49" s="1" t="s">
        <v>29</v>
      </c>
      <c r="E49" s="1" t="s">
        <v>50</v>
      </c>
      <c r="F49" s="1" t="s">
        <v>34</v>
      </c>
      <c r="G49" s="2">
        <v>45769</v>
      </c>
      <c r="H49">
        <v>11916</v>
      </c>
      <c r="I49">
        <v>4051</v>
      </c>
      <c r="J49">
        <v>420</v>
      </c>
      <c r="K49">
        <v>3966</v>
      </c>
      <c r="L49">
        <v>744</v>
      </c>
      <c r="M49">
        <v>166</v>
      </c>
      <c r="N49">
        <v>90256</v>
      </c>
      <c r="O49">
        <v>4637.13</v>
      </c>
      <c r="P49">
        <v>18865.16</v>
      </c>
      <c r="Q49">
        <v>34</v>
      </c>
      <c r="R49">
        <v>10.37</v>
      </c>
      <c r="S49">
        <v>306.83</v>
      </c>
      <c r="T49">
        <v>5.4</v>
      </c>
      <c r="U49">
        <f>Social_Media_Campaign_Data[[#This Row],[Likes]]+Social_Media_Campaign_Data[[#This Row],[Comments]]+Social_Media_Campaign_Data[[#This Row],[Shares]]</f>
        <v>4876</v>
      </c>
      <c r="V49" t="str">
        <f>TEXT(Social_Media_Campaign_Data[[#This Row],[Date]],"mmmm")</f>
        <v>April</v>
      </c>
    </row>
    <row r="50" spans="1:22" x14ac:dyDescent="0.3">
      <c r="A50" s="1" t="s">
        <v>95</v>
      </c>
      <c r="B50" s="1" t="s">
        <v>63</v>
      </c>
      <c r="C50" s="1" t="s">
        <v>36</v>
      </c>
      <c r="D50" s="1" t="s">
        <v>37</v>
      </c>
      <c r="E50" s="1" t="s">
        <v>50</v>
      </c>
      <c r="F50" s="1" t="s">
        <v>47</v>
      </c>
      <c r="G50" s="2">
        <v>45704</v>
      </c>
      <c r="H50">
        <v>43828</v>
      </c>
      <c r="I50">
        <v>2698</v>
      </c>
      <c r="J50">
        <v>380</v>
      </c>
      <c r="K50">
        <v>2211</v>
      </c>
      <c r="L50">
        <v>108</v>
      </c>
      <c r="M50">
        <v>295</v>
      </c>
      <c r="N50">
        <v>65910</v>
      </c>
      <c r="O50">
        <v>8875.5</v>
      </c>
      <c r="P50">
        <v>20888.68</v>
      </c>
      <c r="Q50">
        <v>6.16</v>
      </c>
      <c r="R50">
        <v>14.08</v>
      </c>
      <c r="S50">
        <v>135.35</v>
      </c>
      <c r="T50">
        <v>3.97</v>
      </c>
      <c r="U50">
        <f>Social_Media_Campaign_Data[[#This Row],[Likes]]+Social_Media_Campaign_Data[[#This Row],[Comments]]+Social_Media_Campaign_Data[[#This Row],[Shares]]</f>
        <v>2614</v>
      </c>
      <c r="V50" t="str">
        <f>TEXT(Social_Media_Campaign_Data[[#This Row],[Date]],"mmmm")</f>
        <v>February</v>
      </c>
    </row>
    <row r="51" spans="1:22" x14ac:dyDescent="0.3">
      <c r="A51" s="1" t="s">
        <v>96</v>
      </c>
      <c r="B51" s="1" t="s">
        <v>44</v>
      </c>
      <c r="C51" s="1" t="s">
        <v>22</v>
      </c>
      <c r="D51" s="1" t="s">
        <v>40</v>
      </c>
      <c r="E51" s="1" t="s">
        <v>24</v>
      </c>
      <c r="F51" s="1" t="s">
        <v>42</v>
      </c>
      <c r="G51" s="2">
        <v>45762</v>
      </c>
      <c r="H51">
        <v>36952</v>
      </c>
      <c r="I51">
        <v>2237</v>
      </c>
      <c r="J51">
        <v>413</v>
      </c>
      <c r="K51">
        <v>2316</v>
      </c>
      <c r="L51">
        <v>368</v>
      </c>
      <c r="M51">
        <v>296</v>
      </c>
      <c r="N51">
        <v>41211</v>
      </c>
      <c r="O51">
        <v>8863.0400000000009</v>
      </c>
      <c r="P51">
        <v>35045.730000000003</v>
      </c>
      <c r="Q51">
        <v>6.05</v>
      </c>
      <c r="R51">
        <v>18.46</v>
      </c>
      <c r="S51">
        <v>295.41000000000003</v>
      </c>
      <c r="T51">
        <v>7.23</v>
      </c>
      <c r="U51">
        <f>Social_Media_Campaign_Data[[#This Row],[Likes]]+Social_Media_Campaign_Data[[#This Row],[Comments]]+Social_Media_Campaign_Data[[#This Row],[Shares]]</f>
        <v>2980</v>
      </c>
      <c r="V51" t="str">
        <f>TEXT(Social_Media_Campaign_Data[[#This Row],[Date]],"mmmm")</f>
        <v>April</v>
      </c>
    </row>
    <row r="52" spans="1:22" x14ac:dyDescent="0.3">
      <c r="A52" s="1" t="s">
        <v>97</v>
      </c>
      <c r="B52" s="1" t="s">
        <v>21</v>
      </c>
      <c r="C52" s="1" t="s">
        <v>36</v>
      </c>
      <c r="D52" s="1" t="s">
        <v>40</v>
      </c>
      <c r="E52" s="1" t="s">
        <v>50</v>
      </c>
      <c r="F52" s="1" t="s">
        <v>42</v>
      </c>
      <c r="G52" s="2">
        <v>45736</v>
      </c>
      <c r="H52">
        <v>37019</v>
      </c>
      <c r="I52">
        <v>5048</v>
      </c>
      <c r="J52">
        <v>826</v>
      </c>
      <c r="K52">
        <v>2168</v>
      </c>
      <c r="L52">
        <v>727</v>
      </c>
      <c r="M52">
        <v>497</v>
      </c>
      <c r="N52">
        <v>7260</v>
      </c>
      <c r="O52">
        <v>6636.08</v>
      </c>
      <c r="P52">
        <v>21354.07</v>
      </c>
      <c r="Q52">
        <v>13.64</v>
      </c>
      <c r="R52">
        <v>16.36</v>
      </c>
      <c r="S52">
        <v>221.79</v>
      </c>
      <c r="T52">
        <v>46.72</v>
      </c>
      <c r="U52">
        <f>Social_Media_Campaign_Data[[#This Row],[Likes]]+Social_Media_Campaign_Data[[#This Row],[Comments]]+Social_Media_Campaign_Data[[#This Row],[Shares]]</f>
        <v>3392</v>
      </c>
      <c r="V52" t="str">
        <f>TEXT(Social_Media_Campaign_Data[[#This Row],[Date]],"mmmm")</f>
        <v>March</v>
      </c>
    </row>
    <row r="53" spans="1:22" x14ac:dyDescent="0.3">
      <c r="A53" s="1" t="s">
        <v>98</v>
      </c>
      <c r="B53" s="1" t="s">
        <v>32</v>
      </c>
      <c r="C53" s="1" t="s">
        <v>36</v>
      </c>
      <c r="D53" s="1" t="s">
        <v>23</v>
      </c>
      <c r="E53" s="1" t="s">
        <v>30</v>
      </c>
      <c r="F53" s="1" t="s">
        <v>47</v>
      </c>
      <c r="G53" s="2">
        <v>45722</v>
      </c>
      <c r="H53">
        <v>48513</v>
      </c>
      <c r="I53">
        <v>5264</v>
      </c>
      <c r="J53">
        <v>427</v>
      </c>
      <c r="K53">
        <v>4076</v>
      </c>
      <c r="L53">
        <v>586</v>
      </c>
      <c r="M53">
        <v>553</v>
      </c>
      <c r="N53">
        <v>77140</v>
      </c>
      <c r="O53">
        <v>3765.7</v>
      </c>
      <c r="P53">
        <v>18784.099999999999</v>
      </c>
      <c r="Q53">
        <v>10.85</v>
      </c>
      <c r="R53">
        <v>8.11</v>
      </c>
      <c r="S53">
        <v>398.82</v>
      </c>
      <c r="T53">
        <v>6.76</v>
      </c>
      <c r="U53">
        <f>Social_Media_Campaign_Data[[#This Row],[Likes]]+Social_Media_Campaign_Data[[#This Row],[Comments]]+Social_Media_Campaign_Data[[#This Row],[Shares]]</f>
        <v>5215</v>
      </c>
      <c r="V53" t="str">
        <f>TEXT(Social_Media_Campaign_Data[[#This Row],[Date]],"mmmm")</f>
        <v>March</v>
      </c>
    </row>
    <row r="54" spans="1:22" x14ac:dyDescent="0.3">
      <c r="A54" s="1" t="s">
        <v>99</v>
      </c>
      <c r="B54" s="1" t="s">
        <v>46</v>
      </c>
      <c r="C54" s="1" t="s">
        <v>49</v>
      </c>
      <c r="D54" s="1" t="s">
        <v>40</v>
      </c>
      <c r="E54" s="1" t="s">
        <v>50</v>
      </c>
      <c r="F54" s="1" t="s">
        <v>47</v>
      </c>
      <c r="G54" s="2">
        <v>45808</v>
      </c>
      <c r="H54">
        <v>20108</v>
      </c>
      <c r="I54">
        <v>1488</v>
      </c>
      <c r="J54">
        <v>788</v>
      </c>
      <c r="K54">
        <v>1777</v>
      </c>
      <c r="L54">
        <v>343</v>
      </c>
      <c r="M54">
        <v>132</v>
      </c>
      <c r="N54">
        <v>95461</v>
      </c>
      <c r="O54">
        <v>7557.37</v>
      </c>
      <c r="P54">
        <v>36487.519999999997</v>
      </c>
      <c r="Q54">
        <v>7.4</v>
      </c>
      <c r="R54">
        <v>52.96</v>
      </c>
      <c r="S54">
        <v>382.81</v>
      </c>
      <c r="T54">
        <v>2.36</v>
      </c>
      <c r="U54">
        <f>Social_Media_Campaign_Data[[#This Row],[Likes]]+Social_Media_Campaign_Data[[#This Row],[Comments]]+Social_Media_Campaign_Data[[#This Row],[Shares]]</f>
        <v>2252</v>
      </c>
      <c r="V54" t="str">
        <f>TEXT(Social_Media_Campaign_Data[[#This Row],[Date]],"mmmm")</f>
        <v>May</v>
      </c>
    </row>
    <row r="55" spans="1:22" x14ac:dyDescent="0.3">
      <c r="A55" s="1" t="s">
        <v>100</v>
      </c>
      <c r="B55" s="1" t="s">
        <v>46</v>
      </c>
      <c r="C55" s="1" t="s">
        <v>36</v>
      </c>
      <c r="D55" s="1" t="s">
        <v>37</v>
      </c>
      <c r="E55" s="1" t="s">
        <v>24</v>
      </c>
      <c r="F55" s="1" t="s">
        <v>47</v>
      </c>
      <c r="G55" s="2">
        <v>45836</v>
      </c>
      <c r="H55">
        <v>39382</v>
      </c>
      <c r="I55">
        <v>5388</v>
      </c>
      <c r="J55">
        <v>339</v>
      </c>
      <c r="K55">
        <v>1023</v>
      </c>
      <c r="L55">
        <v>218</v>
      </c>
      <c r="M55">
        <v>313</v>
      </c>
      <c r="N55">
        <v>6854</v>
      </c>
      <c r="O55">
        <v>2661.09</v>
      </c>
      <c r="P55">
        <v>5662.92</v>
      </c>
      <c r="Q55">
        <v>13.68</v>
      </c>
      <c r="R55">
        <v>6.29</v>
      </c>
      <c r="S55">
        <v>112.8</v>
      </c>
      <c r="T55">
        <v>22.67</v>
      </c>
      <c r="U55">
        <f>Social_Media_Campaign_Data[[#This Row],[Likes]]+Social_Media_Campaign_Data[[#This Row],[Comments]]+Social_Media_Campaign_Data[[#This Row],[Shares]]</f>
        <v>1554</v>
      </c>
      <c r="V55" t="str">
        <f>TEXT(Social_Media_Campaign_Data[[#This Row],[Date]],"mmmm")</f>
        <v>June</v>
      </c>
    </row>
    <row r="56" spans="1:22" x14ac:dyDescent="0.3">
      <c r="A56" s="1" t="s">
        <v>101</v>
      </c>
      <c r="B56" s="1" t="s">
        <v>32</v>
      </c>
      <c r="C56" s="1" t="s">
        <v>49</v>
      </c>
      <c r="D56" s="1" t="s">
        <v>37</v>
      </c>
      <c r="E56" s="1" t="s">
        <v>30</v>
      </c>
      <c r="F56" s="1" t="s">
        <v>34</v>
      </c>
      <c r="G56" s="2">
        <v>45687</v>
      </c>
      <c r="H56">
        <v>13275</v>
      </c>
      <c r="I56">
        <v>5725</v>
      </c>
      <c r="J56">
        <v>939</v>
      </c>
      <c r="K56">
        <v>4221</v>
      </c>
      <c r="L56">
        <v>125</v>
      </c>
      <c r="M56">
        <v>22</v>
      </c>
      <c r="N56">
        <v>62733</v>
      </c>
      <c r="O56">
        <v>5953.61</v>
      </c>
      <c r="P56">
        <v>18711.54</v>
      </c>
      <c r="Q56">
        <v>43.13</v>
      </c>
      <c r="R56">
        <v>16.399999999999999</v>
      </c>
      <c r="S56">
        <v>214.29</v>
      </c>
      <c r="T56">
        <v>6.96</v>
      </c>
      <c r="U56">
        <f>Social_Media_Campaign_Data[[#This Row],[Likes]]+Social_Media_Campaign_Data[[#This Row],[Comments]]+Social_Media_Campaign_Data[[#This Row],[Shares]]</f>
        <v>4368</v>
      </c>
      <c r="V56" t="str">
        <f>TEXT(Social_Media_Campaign_Data[[#This Row],[Date]],"mmmm")</f>
        <v>January</v>
      </c>
    </row>
    <row r="57" spans="1:22" x14ac:dyDescent="0.3">
      <c r="A57" s="1" t="s">
        <v>102</v>
      </c>
      <c r="B57" s="1" t="s">
        <v>21</v>
      </c>
      <c r="C57" s="1" t="s">
        <v>49</v>
      </c>
      <c r="D57" s="1" t="s">
        <v>37</v>
      </c>
      <c r="E57" s="1" t="s">
        <v>41</v>
      </c>
      <c r="F57" s="1" t="s">
        <v>34</v>
      </c>
      <c r="G57" s="2">
        <v>45813</v>
      </c>
      <c r="H57">
        <v>9282</v>
      </c>
      <c r="I57">
        <v>3782</v>
      </c>
      <c r="J57">
        <v>553</v>
      </c>
      <c r="K57">
        <v>806</v>
      </c>
      <c r="L57">
        <v>610</v>
      </c>
      <c r="M57">
        <v>64</v>
      </c>
      <c r="N57">
        <v>44824</v>
      </c>
      <c r="O57">
        <v>1941.41</v>
      </c>
      <c r="P57">
        <v>8423.77</v>
      </c>
      <c r="Q57">
        <v>40.75</v>
      </c>
      <c r="R57">
        <v>14.62</v>
      </c>
      <c r="S57">
        <v>333.9</v>
      </c>
      <c r="T57">
        <v>3.3</v>
      </c>
      <c r="U57">
        <f>Social_Media_Campaign_Data[[#This Row],[Likes]]+Social_Media_Campaign_Data[[#This Row],[Comments]]+Social_Media_Campaign_Data[[#This Row],[Shares]]</f>
        <v>1480</v>
      </c>
      <c r="V57" t="str">
        <f>TEXT(Social_Media_Campaign_Data[[#This Row],[Date]],"mmmm")</f>
        <v>June</v>
      </c>
    </row>
    <row r="58" spans="1:22" x14ac:dyDescent="0.3">
      <c r="A58" s="1" t="s">
        <v>103</v>
      </c>
      <c r="B58" s="1" t="s">
        <v>63</v>
      </c>
      <c r="C58" s="1" t="s">
        <v>36</v>
      </c>
      <c r="D58" s="1" t="s">
        <v>29</v>
      </c>
      <c r="E58" s="1" t="s">
        <v>41</v>
      </c>
      <c r="F58" s="1" t="s">
        <v>25</v>
      </c>
      <c r="G58" s="2">
        <v>45814</v>
      </c>
      <c r="H58">
        <v>44067</v>
      </c>
      <c r="I58">
        <v>6977</v>
      </c>
      <c r="J58">
        <v>683</v>
      </c>
      <c r="K58">
        <v>2048</v>
      </c>
      <c r="L58">
        <v>555</v>
      </c>
      <c r="M58">
        <v>399</v>
      </c>
      <c r="N58">
        <v>82139</v>
      </c>
      <c r="O58">
        <v>4779.8900000000003</v>
      </c>
      <c r="P58">
        <v>14576.39</v>
      </c>
      <c r="Q58">
        <v>15.83</v>
      </c>
      <c r="R58">
        <v>9.7899999999999991</v>
      </c>
      <c r="S58">
        <v>204.95</v>
      </c>
      <c r="T58">
        <v>3.65</v>
      </c>
      <c r="U58">
        <f>Social_Media_Campaign_Data[[#This Row],[Likes]]+Social_Media_Campaign_Data[[#This Row],[Comments]]+Social_Media_Campaign_Data[[#This Row],[Shares]]</f>
        <v>3002</v>
      </c>
      <c r="V58" t="str">
        <f>TEXT(Social_Media_Campaign_Data[[#This Row],[Date]],"mmmm")</f>
        <v>June</v>
      </c>
    </row>
    <row r="59" spans="1:22" x14ac:dyDescent="0.3">
      <c r="A59" s="1" t="s">
        <v>104</v>
      </c>
      <c r="B59" s="1" t="s">
        <v>46</v>
      </c>
      <c r="C59" s="1" t="s">
        <v>58</v>
      </c>
      <c r="D59" s="1" t="s">
        <v>23</v>
      </c>
      <c r="E59" s="1" t="s">
        <v>50</v>
      </c>
      <c r="F59" s="1" t="s">
        <v>34</v>
      </c>
      <c r="G59" s="2">
        <v>45732</v>
      </c>
      <c r="H59">
        <v>11503</v>
      </c>
      <c r="I59">
        <v>2202</v>
      </c>
      <c r="J59">
        <v>690</v>
      </c>
      <c r="K59">
        <v>1928</v>
      </c>
      <c r="L59">
        <v>290</v>
      </c>
      <c r="M59">
        <v>93</v>
      </c>
      <c r="N59">
        <v>14838</v>
      </c>
      <c r="O59">
        <v>1992.04</v>
      </c>
      <c r="P59">
        <v>4199.91</v>
      </c>
      <c r="Q59">
        <v>19.14</v>
      </c>
      <c r="R59">
        <v>31.34</v>
      </c>
      <c r="S59">
        <v>110.83</v>
      </c>
      <c r="T59">
        <v>15.57</v>
      </c>
      <c r="U59">
        <f>Social_Media_Campaign_Data[[#This Row],[Likes]]+Social_Media_Campaign_Data[[#This Row],[Comments]]+Social_Media_Campaign_Data[[#This Row],[Shares]]</f>
        <v>2311</v>
      </c>
      <c r="V59" t="str">
        <f>TEXT(Social_Media_Campaign_Data[[#This Row],[Date]],"mmmm")</f>
        <v>March</v>
      </c>
    </row>
    <row r="60" spans="1:22" x14ac:dyDescent="0.3">
      <c r="A60" s="1" t="s">
        <v>105</v>
      </c>
      <c r="B60" s="1" t="s">
        <v>27</v>
      </c>
      <c r="C60" s="1" t="s">
        <v>28</v>
      </c>
      <c r="D60" s="1" t="s">
        <v>37</v>
      </c>
      <c r="E60" s="1" t="s">
        <v>41</v>
      </c>
      <c r="F60" s="1" t="s">
        <v>42</v>
      </c>
      <c r="G60" s="2">
        <v>45823</v>
      </c>
      <c r="H60">
        <v>7139</v>
      </c>
      <c r="I60">
        <v>1448</v>
      </c>
      <c r="J60">
        <v>345</v>
      </c>
      <c r="K60">
        <v>2516</v>
      </c>
      <c r="L60">
        <v>739</v>
      </c>
      <c r="M60">
        <v>474</v>
      </c>
      <c r="N60">
        <v>39675</v>
      </c>
      <c r="O60">
        <v>1176.21</v>
      </c>
      <c r="P60">
        <v>2725.26</v>
      </c>
      <c r="Q60">
        <v>20.28</v>
      </c>
      <c r="R60">
        <v>23.83</v>
      </c>
      <c r="S60">
        <v>131.69999999999999</v>
      </c>
      <c r="T60">
        <v>9.4</v>
      </c>
      <c r="U60">
        <f>Social_Media_Campaign_Data[[#This Row],[Likes]]+Social_Media_Campaign_Data[[#This Row],[Comments]]+Social_Media_Campaign_Data[[#This Row],[Shares]]</f>
        <v>3729</v>
      </c>
      <c r="V60" t="str">
        <f>TEXT(Social_Media_Campaign_Data[[#This Row],[Date]],"mmmm")</f>
        <v>June</v>
      </c>
    </row>
    <row r="61" spans="1:22" x14ac:dyDescent="0.3">
      <c r="A61" s="1" t="s">
        <v>106</v>
      </c>
      <c r="B61" s="1" t="s">
        <v>69</v>
      </c>
      <c r="C61" s="1" t="s">
        <v>28</v>
      </c>
      <c r="D61" s="1" t="s">
        <v>37</v>
      </c>
      <c r="E61" s="1" t="s">
        <v>50</v>
      </c>
      <c r="F61" s="1" t="s">
        <v>47</v>
      </c>
      <c r="G61" s="2">
        <v>45837</v>
      </c>
      <c r="H61">
        <v>14764</v>
      </c>
      <c r="I61">
        <v>2676</v>
      </c>
      <c r="J61">
        <v>896</v>
      </c>
      <c r="K61">
        <v>1365</v>
      </c>
      <c r="L61">
        <v>93</v>
      </c>
      <c r="M61">
        <v>71</v>
      </c>
      <c r="N61">
        <v>79607</v>
      </c>
      <c r="O61">
        <v>2076.27</v>
      </c>
      <c r="P61">
        <v>5349.8</v>
      </c>
      <c r="Q61">
        <v>18.13</v>
      </c>
      <c r="R61">
        <v>33.479999999999997</v>
      </c>
      <c r="S61">
        <v>157.66</v>
      </c>
      <c r="T61">
        <v>1.92</v>
      </c>
      <c r="U61">
        <f>Social_Media_Campaign_Data[[#This Row],[Likes]]+Social_Media_Campaign_Data[[#This Row],[Comments]]+Social_Media_Campaign_Data[[#This Row],[Shares]]</f>
        <v>1529</v>
      </c>
      <c r="V61" t="str">
        <f>TEXT(Social_Media_Campaign_Data[[#This Row],[Date]],"mmmm")</f>
        <v>June</v>
      </c>
    </row>
    <row r="62" spans="1:22" x14ac:dyDescent="0.3">
      <c r="A62" s="1" t="s">
        <v>107</v>
      </c>
      <c r="B62" s="1" t="s">
        <v>32</v>
      </c>
      <c r="C62" s="1" t="s">
        <v>22</v>
      </c>
      <c r="D62" s="1" t="s">
        <v>33</v>
      </c>
      <c r="E62" s="1" t="s">
        <v>24</v>
      </c>
      <c r="F62" s="1" t="s">
        <v>25</v>
      </c>
      <c r="G62" s="2">
        <v>45716</v>
      </c>
      <c r="H62">
        <v>31378</v>
      </c>
      <c r="I62">
        <v>2730</v>
      </c>
      <c r="J62">
        <v>562</v>
      </c>
      <c r="K62">
        <v>4623</v>
      </c>
      <c r="L62">
        <v>525</v>
      </c>
      <c r="M62">
        <v>458</v>
      </c>
      <c r="N62">
        <v>61626</v>
      </c>
      <c r="O62">
        <v>1264.2</v>
      </c>
      <c r="P62">
        <v>2072.67</v>
      </c>
      <c r="Q62">
        <v>8.6999999999999993</v>
      </c>
      <c r="R62">
        <v>20.59</v>
      </c>
      <c r="S62">
        <v>63.95</v>
      </c>
      <c r="T62">
        <v>9.1</v>
      </c>
      <c r="U62">
        <f>Social_Media_Campaign_Data[[#This Row],[Likes]]+Social_Media_Campaign_Data[[#This Row],[Comments]]+Social_Media_Campaign_Data[[#This Row],[Shares]]</f>
        <v>5606</v>
      </c>
      <c r="V62" t="str">
        <f>TEXT(Social_Media_Campaign_Data[[#This Row],[Date]],"mmmm")</f>
        <v>February</v>
      </c>
    </row>
    <row r="63" spans="1:22" x14ac:dyDescent="0.3">
      <c r="A63" s="1" t="s">
        <v>108</v>
      </c>
      <c r="B63" s="1" t="s">
        <v>56</v>
      </c>
      <c r="C63" s="1" t="s">
        <v>22</v>
      </c>
      <c r="D63" s="1" t="s">
        <v>23</v>
      </c>
      <c r="E63" s="1" t="s">
        <v>30</v>
      </c>
      <c r="F63" s="1" t="s">
        <v>42</v>
      </c>
      <c r="G63" s="2">
        <v>45807</v>
      </c>
      <c r="H63">
        <v>49190</v>
      </c>
      <c r="I63">
        <v>5212</v>
      </c>
      <c r="J63">
        <v>651</v>
      </c>
      <c r="K63">
        <v>369</v>
      </c>
      <c r="L63">
        <v>708</v>
      </c>
      <c r="M63">
        <v>285</v>
      </c>
      <c r="N63">
        <v>27962</v>
      </c>
      <c r="O63">
        <v>5974.35</v>
      </c>
      <c r="P63">
        <v>24918.31</v>
      </c>
      <c r="Q63">
        <v>10.6</v>
      </c>
      <c r="R63">
        <v>12.49</v>
      </c>
      <c r="S63">
        <v>317.08999999999997</v>
      </c>
      <c r="T63">
        <v>4.87</v>
      </c>
      <c r="U63">
        <f>Social_Media_Campaign_Data[[#This Row],[Likes]]+Social_Media_Campaign_Data[[#This Row],[Comments]]+Social_Media_Campaign_Data[[#This Row],[Shares]]</f>
        <v>1362</v>
      </c>
      <c r="V63" t="str">
        <f>TEXT(Social_Media_Campaign_Data[[#This Row],[Date]],"mmmm")</f>
        <v>May</v>
      </c>
    </row>
    <row r="64" spans="1:22" x14ac:dyDescent="0.3">
      <c r="A64" s="1" t="s">
        <v>109</v>
      </c>
      <c r="B64" s="1" t="s">
        <v>21</v>
      </c>
      <c r="C64" s="1" t="s">
        <v>49</v>
      </c>
      <c r="D64" s="1" t="s">
        <v>33</v>
      </c>
      <c r="E64" s="1" t="s">
        <v>50</v>
      </c>
      <c r="F64" s="1" t="s">
        <v>34</v>
      </c>
      <c r="G64" s="2">
        <v>45731</v>
      </c>
      <c r="H64">
        <v>33566</v>
      </c>
      <c r="I64">
        <v>5700</v>
      </c>
      <c r="J64">
        <v>883</v>
      </c>
      <c r="K64">
        <v>4228</v>
      </c>
      <c r="L64">
        <v>113</v>
      </c>
      <c r="M64">
        <v>491</v>
      </c>
      <c r="N64">
        <v>92835</v>
      </c>
      <c r="O64">
        <v>3805.63</v>
      </c>
      <c r="P64">
        <v>10148.01</v>
      </c>
      <c r="Q64">
        <v>16.98</v>
      </c>
      <c r="R64">
        <v>15.49</v>
      </c>
      <c r="S64">
        <v>166.66</v>
      </c>
      <c r="T64">
        <v>5.2</v>
      </c>
      <c r="U64">
        <f>Social_Media_Campaign_Data[[#This Row],[Likes]]+Social_Media_Campaign_Data[[#This Row],[Comments]]+Social_Media_Campaign_Data[[#This Row],[Shares]]</f>
        <v>4832</v>
      </c>
      <c r="V64" t="str">
        <f>TEXT(Social_Media_Campaign_Data[[#This Row],[Date]],"mmmm")</f>
        <v>March</v>
      </c>
    </row>
    <row r="65" spans="1:22" x14ac:dyDescent="0.3">
      <c r="A65" s="1" t="s">
        <v>110</v>
      </c>
      <c r="B65" s="1" t="s">
        <v>63</v>
      </c>
      <c r="C65" s="1" t="s">
        <v>22</v>
      </c>
      <c r="D65" s="1" t="s">
        <v>37</v>
      </c>
      <c r="E65" s="1" t="s">
        <v>41</v>
      </c>
      <c r="F65" s="1" t="s">
        <v>34</v>
      </c>
      <c r="G65" s="2">
        <v>45763</v>
      </c>
      <c r="H65">
        <v>48423</v>
      </c>
      <c r="I65">
        <v>3780</v>
      </c>
      <c r="J65">
        <v>883</v>
      </c>
      <c r="K65">
        <v>4706</v>
      </c>
      <c r="L65">
        <v>57</v>
      </c>
      <c r="M65">
        <v>475</v>
      </c>
      <c r="N65">
        <v>20194</v>
      </c>
      <c r="O65">
        <v>1336.57</v>
      </c>
      <c r="P65">
        <v>3185.58</v>
      </c>
      <c r="Q65">
        <v>7.81</v>
      </c>
      <c r="R65">
        <v>23.36</v>
      </c>
      <c r="S65">
        <v>138.34</v>
      </c>
      <c r="T65">
        <v>25.94</v>
      </c>
      <c r="U65">
        <f>Social_Media_Campaign_Data[[#This Row],[Likes]]+Social_Media_Campaign_Data[[#This Row],[Comments]]+Social_Media_Campaign_Data[[#This Row],[Shares]]</f>
        <v>5238</v>
      </c>
      <c r="V65" t="str">
        <f>TEXT(Social_Media_Campaign_Data[[#This Row],[Date]],"mmmm")</f>
        <v>April</v>
      </c>
    </row>
    <row r="66" spans="1:22" x14ac:dyDescent="0.3">
      <c r="A66" s="1" t="s">
        <v>111</v>
      </c>
      <c r="B66" s="1" t="s">
        <v>69</v>
      </c>
      <c r="C66" s="1" t="s">
        <v>22</v>
      </c>
      <c r="D66" s="1" t="s">
        <v>40</v>
      </c>
      <c r="E66" s="1" t="s">
        <v>30</v>
      </c>
      <c r="F66" s="1" t="s">
        <v>34</v>
      </c>
      <c r="G66" s="2">
        <v>45836</v>
      </c>
      <c r="H66">
        <v>8552</v>
      </c>
      <c r="I66">
        <v>1268</v>
      </c>
      <c r="J66">
        <v>580</v>
      </c>
      <c r="K66">
        <v>3163</v>
      </c>
      <c r="L66">
        <v>657</v>
      </c>
      <c r="M66">
        <v>520</v>
      </c>
      <c r="N66">
        <v>31680</v>
      </c>
      <c r="O66">
        <v>6441.38</v>
      </c>
      <c r="P66">
        <v>26795.93</v>
      </c>
      <c r="Q66">
        <v>14.83</v>
      </c>
      <c r="R66">
        <v>45.74</v>
      </c>
      <c r="S66">
        <v>316</v>
      </c>
      <c r="T66">
        <v>13.7</v>
      </c>
      <c r="U66">
        <f>Social_Media_Campaign_Data[[#This Row],[Likes]]+Social_Media_Campaign_Data[[#This Row],[Comments]]+Social_Media_Campaign_Data[[#This Row],[Shares]]</f>
        <v>4340</v>
      </c>
      <c r="V66" t="str">
        <f>TEXT(Social_Media_Campaign_Data[[#This Row],[Date]],"mmmm")</f>
        <v>June</v>
      </c>
    </row>
    <row r="67" spans="1:22" x14ac:dyDescent="0.3">
      <c r="A67" s="1" t="s">
        <v>112</v>
      </c>
      <c r="B67" s="1" t="s">
        <v>21</v>
      </c>
      <c r="C67" s="1" t="s">
        <v>49</v>
      </c>
      <c r="D67" s="1" t="s">
        <v>37</v>
      </c>
      <c r="E67" s="1" t="s">
        <v>50</v>
      </c>
      <c r="F67" s="1" t="s">
        <v>25</v>
      </c>
      <c r="G67" s="2">
        <v>45823</v>
      </c>
      <c r="H67">
        <v>36766</v>
      </c>
      <c r="I67">
        <v>1494</v>
      </c>
      <c r="J67">
        <v>79</v>
      </c>
      <c r="K67">
        <v>2160</v>
      </c>
      <c r="L67">
        <v>746</v>
      </c>
      <c r="M67">
        <v>172</v>
      </c>
      <c r="N67">
        <v>58476</v>
      </c>
      <c r="O67">
        <v>3452.13</v>
      </c>
      <c r="P67">
        <v>5343.42</v>
      </c>
      <c r="Q67">
        <v>4.0599999999999996</v>
      </c>
      <c r="R67">
        <v>5.29</v>
      </c>
      <c r="S67">
        <v>54.79</v>
      </c>
      <c r="T67">
        <v>5.26</v>
      </c>
      <c r="U67">
        <f>Social_Media_Campaign_Data[[#This Row],[Likes]]+Social_Media_Campaign_Data[[#This Row],[Comments]]+Social_Media_Campaign_Data[[#This Row],[Shares]]</f>
        <v>3078</v>
      </c>
      <c r="V67" t="str">
        <f>TEXT(Social_Media_Campaign_Data[[#This Row],[Date]],"mmmm")</f>
        <v>June</v>
      </c>
    </row>
    <row r="68" spans="1:22" x14ac:dyDescent="0.3">
      <c r="A68" s="1" t="s">
        <v>113</v>
      </c>
      <c r="B68" s="1" t="s">
        <v>27</v>
      </c>
      <c r="C68" s="1" t="s">
        <v>28</v>
      </c>
      <c r="D68" s="1" t="s">
        <v>29</v>
      </c>
      <c r="E68" s="1" t="s">
        <v>38</v>
      </c>
      <c r="F68" s="1" t="s">
        <v>34</v>
      </c>
      <c r="G68" s="2">
        <v>45706</v>
      </c>
      <c r="H68">
        <v>15090</v>
      </c>
      <c r="I68">
        <v>4582</v>
      </c>
      <c r="J68">
        <v>783</v>
      </c>
      <c r="K68">
        <v>2590</v>
      </c>
      <c r="L68">
        <v>541</v>
      </c>
      <c r="M68">
        <v>289</v>
      </c>
      <c r="N68">
        <v>66894</v>
      </c>
      <c r="O68">
        <v>4447.16</v>
      </c>
      <c r="P68">
        <v>14180.87</v>
      </c>
      <c r="Q68">
        <v>30.36</v>
      </c>
      <c r="R68">
        <v>17.09</v>
      </c>
      <c r="S68">
        <v>218.87</v>
      </c>
      <c r="T68">
        <v>5.1100000000000003</v>
      </c>
      <c r="U68">
        <f>Social_Media_Campaign_Data[[#This Row],[Likes]]+Social_Media_Campaign_Data[[#This Row],[Comments]]+Social_Media_Campaign_Data[[#This Row],[Shares]]</f>
        <v>3420</v>
      </c>
      <c r="V68" t="str">
        <f>TEXT(Social_Media_Campaign_Data[[#This Row],[Date]],"mmmm")</f>
        <v>February</v>
      </c>
    </row>
    <row r="69" spans="1:22" x14ac:dyDescent="0.3">
      <c r="A69" s="1" t="s">
        <v>114</v>
      </c>
      <c r="B69" s="1" t="s">
        <v>69</v>
      </c>
      <c r="C69" s="1" t="s">
        <v>58</v>
      </c>
      <c r="D69" s="1" t="s">
        <v>33</v>
      </c>
      <c r="E69" s="1" t="s">
        <v>30</v>
      </c>
      <c r="F69" s="1" t="s">
        <v>34</v>
      </c>
      <c r="G69" s="2">
        <v>45696</v>
      </c>
      <c r="H69">
        <v>44280</v>
      </c>
      <c r="I69">
        <v>4663</v>
      </c>
      <c r="J69">
        <v>814</v>
      </c>
      <c r="K69">
        <v>1318</v>
      </c>
      <c r="L69">
        <v>91</v>
      </c>
      <c r="M69">
        <v>292</v>
      </c>
      <c r="N69">
        <v>49548</v>
      </c>
      <c r="O69">
        <v>7840.41</v>
      </c>
      <c r="P69">
        <v>35206.92</v>
      </c>
      <c r="Q69">
        <v>10.53</v>
      </c>
      <c r="R69">
        <v>17.46</v>
      </c>
      <c r="S69">
        <v>349.04</v>
      </c>
      <c r="T69">
        <v>3.43</v>
      </c>
      <c r="U69">
        <f>Social_Media_Campaign_Data[[#This Row],[Likes]]+Social_Media_Campaign_Data[[#This Row],[Comments]]+Social_Media_Campaign_Data[[#This Row],[Shares]]</f>
        <v>1701</v>
      </c>
      <c r="V69" t="str">
        <f>TEXT(Social_Media_Campaign_Data[[#This Row],[Date]],"mmmm")</f>
        <v>February</v>
      </c>
    </row>
    <row r="70" spans="1:22" x14ac:dyDescent="0.3">
      <c r="A70" s="1" t="s">
        <v>115</v>
      </c>
      <c r="B70" s="1" t="s">
        <v>27</v>
      </c>
      <c r="C70" s="1" t="s">
        <v>49</v>
      </c>
      <c r="D70" s="1" t="s">
        <v>29</v>
      </c>
      <c r="E70" s="1" t="s">
        <v>50</v>
      </c>
      <c r="F70" s="1" t="s">
        <v>42</v>
      </c>
      <c r="G70" s="2">
        <v>45763</v>
      </c>
      <c r="H70">
        <v>34264</v>
      </c>
      <c r="I70">
        <v>4912</v>
      </c>
      <c r="J70">
        <v>545</v>
      </c>
      <c r="K70">
        <v>3027</v>
      </c>
      <c r="L70">
        <v>360</v>
      </c>
      <c r="M70">
        <v>575</v>
      </c>
      <c r="N70">
        <v>47176</v>
      </c>
      <c r="O70">
        <v>7747.29</v>
      </c>
      <c r="P70">
        <v>21849.18</v>
      </c>
      <c r="Q70">
        <v>14.34</v>
      </c>
      <c r="R70">
        <v>11.1</v>
      </c>
      <c r="S70">
        <v>182.02</v>
      </c>
      <c r="T70">
        <v>8.4</v>
      </c>
      <c r="U70">
        <f>Social_Media_Campaign_Data[[#This Row],[Likes]]+Social_Media_Campaign_Data[[#This Row],[Comments]]+Social_Media_Campaign_Data[[#This Row],[Shares]]</f>
        <v>3962</v>
      </c>
      <c r="V70" t="str">
        <f>TEXT(Social_Media_Campaign_Data[[#This Row],[Date]],"mmmm")</f>
        <v>April</v>
      </c>
    </row>
    <row r="71" spans="1:22" x14ac:dyDescent="0.3">
      <c r="A71" s="1" t="s">
        <v>116</v>
      </c>
      <c r="B71" s="1" t="s">
        <v>46</v>
      </c>
      <c r="C71" s="1" t="s">
        <v>28</v>
      </c>
      <c r="D71" s="1" t="s">
        <v>37</v>
      </c>
      <c r="E71" s="1" t="s">
        <v>38</v>
      </c>
      <c r="F71" s="1" t="s">
        <v>47</v>
      </c>
      <c r="G71" s="2">
        <v>45683</v>
      </c>
      <c r="H71">
        <v>7860</v>
      </c>
      <c r="I71">
        <v>1803</v>
      </c>
      <c r="J71">
        <v>812</v>
      </c>
      <c r="K71">
        <v>4074</v>
      </c>
      <c r="L71">
        <v>742</v>
      </c>
      <c r="M71">
        <v>400</v>
      </c>
      <c r="N71">
        <v>90461</v>
      </c>
      <c r="O71">
        <v>4167.75</v>
      </c>
      <c r="P71">
        <v>15932.94</v>
      </c>
      <c r="Q71">
        <v>22.94</v>
      </c>
      <c r="R71">
        <v>45.04</v>
      </c>
      <c r="S71">
        <v>282.29000000000002</v>
      </c>
      <c r="T71">
        <v>5.77</v>
      </c>
      <c r="U71">
        <f>Social_Media_Campaign_Data[[#This Row],[Likes]]+Social_Media_Campaign_Data[[#This Row],[Comments]]+Social_Media_Campaign_Data[[#This Row],[Shares]]</f>
        <v>5216</v>
      </c>
      <c r="V71" t="str">
        <f>TEXT(Social_Media_Campaign_Data[[#This Row],[Date]],"mmmm")</f>
        <v>January</v>
      </c>
    </row>
    <row r="72" spans="1:22" x14ac:dyDescent="0.3">
      <c r="A72" s="1" t="s">
        <v>117</v>
      </c>
      <c r="B72" s="1" t="s">
        <v>21</v>
      </c>
      <c r="C72" s="1" t="s">
        <v>28</v>
      </c>
      <c r="D72" s="1" t="s">
        <v>33</v>
      </c>
      <c r="E72" s="1" t="s">
        <v>30</v>
      </c>
      <c r="F72" s="1" t="s">
        <v>34</v>
      </c>
      <c r="G72" s="2">
        <v>45824</v>
      </c>
      <c r="H72">
        <v>33855</v>
      </c>
      <c r="I72">
        <v>1316</v>
      </c>
      <c r="J72">
        <v>588</v>
      </c>
      <c r="K72">
        <v>3943</v>
      </c>
      <c r="L72">
        <v>35</v>
      </c>
      <c r="M72">
        <v>157</v>
      </c>
      <c r="N72">
        <v>25232</v>
      </c>
      <c r="O72">
        <v>4394.8</v>
      </c>
      <c r="P72">
        <v>16663.919999999998</v>
      </c>
      <c r="Q72">
        <v>3.89</v>
      </c>
      <c r="R72">
        <v>44.68</v>
      </c>
      <c r="S72">
        <v>279.17</v>
      </c>
      <c r="T72">
        <v>16.39</v>
      </c>
      <c r="U72">
        <f>Social_Media_Campaign_Data[[#This Row],[Likes]]+Social_Media_Campaign_Data[[#This Row],[Comments]]+Social_Media_Campaign_Data[[#This Row],[Shares]]</f>
        <v>4135</v>
      </c>
      <c r="V72" t="str">
        <f>TEXT(Social_Media_Campaign_Data[[#This Row],[Date]],"mmmm")</f>
        <v>June</v>
      </c>
    </row>
    <row r="73" spans="1:22" x14ac:dyDescent="0.3">
      <c r="A73" s="1" t="s">
        <v>118</v>
      </c>
      <c r="B73" s="1" t="s">
        <v>44</v>
      </c>
      <c r="C73" s="1" t="s">
        <v>22</v>
      </c>
      <c r="D73" s="1" t="s">
        <v>37</v>
      </c>
      <c r="E73" s="1" t="s">
        <v>38</v>
      </c>
      <c r="F73" s="1" t="s">
        <v>47</v>
      </c>
      <c r="G73" s="2">
        <v>45716</v>
      </c>
      <c r="H73">
        <v>10263</v>
      </c>
      <c r="I73">
        <v>3191</v>
      </c>
      <c r="J73">
        <v>922</v>
      </c>
      <c r="K73">
        <v>4571</v>
      </c>
      <c r="L73">
        <v>409</v>
      </c>
      <c r="M73">
        <v>334</v>
      </c>
      <c r="N73">
        <v>68956</v>
      </c>
      <c r="O73">
        <v>6454.59</v>
      </c>
      <c r="P73">
        <v>29730.07</v>
      </c>
      <c r="Q73">
        <v>31.09</v>
      </c>
      <c r="R73">
        <v>28.89</v>
      </c>
      <c r="S73">
        <v>360.6</v>
      </c>
      <c r="T73">
        <v>7.71</v>
      </c>
      <c r="U73">
        <f>Social_Media_Campaign_Data[[#This Row],[Likes]]+Social_Media_Campaign_Data[[#This Row],[Comments]]+Social_Media_Campaign_Data[[#This Row],[Shares]]</f>
        <v>5314</v>
      </c>
      <c r="V73" t="str">
        <f>TEXT(Social_Media_Campaign_Data[[#This Row],[Date]],"mmmm")</f>
        <v>February</v>
      </c>
    </row>
    <row r="74" spans="1:22" x14ac:dyDescent="0.3">
      <c r="A74" s="1" t="s">
        <v>119</v>
      </c>
      <c r="B74" s="1" t="s">
        <v>32</v>
      </c>
      <c r="C74" s="1" t="s">
        <v>58</v>
      </c>
      <c r="D74" s="1" t="s">
        <v>33</v>
      </c>
      <c r="E74" s="1" t="s">
        <v>30</v>
      </c>
      <c r="F74" s="1" t="s">
        <v>47</v>
      </c>
      <c r="G74" s="2">
        <v>45768</v>
      </c>
      <c r="H74">
        <v>10923</v>
      </c>
      <c r="I74">
        <v>4055</v>
      </c>
      <c r="J74">
        <v>150</v>
      </c>
      <c r="K74">
        <v>1023</v>
      </c>
      <c r="L74">
        <v>474</v>
      </c>
      <c r="M74">
        <v>180</v>
      </c>
      <c r="N74">
        <v>11028</v>
      </c>
      <c r="O74">
        <v>7093.01</v>
      </c>
      <c r="P74">
        <v>33067.5</v>
      </c>
      <c r="Q74">
        <v>37.119999999999997</v>
      </c>
      <c r="R74">
        <v>3.7</v>
      </c>
      <c r="S74">
        <v>366.2</v>
      </c>
      <c r="T74">
        <v>15.21</v>
      </c>
      <c r="U74">
        <f>Social_Media_Campaign_Data[[#This Row],[Likes]]+Social_Media_Campaign_Data[[#This Row],[Comments]]+Social_Media_Campaign_Data[[#This Row],[Shares]]</f>
        <v>1677</v>
      </c>
      <c r="V74" t="str">
        <f>TEXT(Social_Media_Campaign_Data[[#This Row],[Date]],"mmmm")</f>
        <v>April</v>
      </c>
    </row>
    <row r="75" spans="1:22" x14ac:dyDescent="0.3">
      <c r="A75" s="1" t="s">
        <v>120</v>
      </c>
      <c r="B75" s="1" t="s">
        <v>27</v>
      </c>
      <c r="C75" s="1" t="s">
        <v>28</v>
      </c>
      <c r="D75" s="1" t="s">
        <v>29</v>
      </c>
      <c r="E75" s="1" t="s">
        <v>38</v>
      </c>
      <c r="F75" s="1" t="s">
        <v>42</v>
      </c>
      <c r="G75" s="2">
        <v>45776</v>
      </c>
      <c r="H75">
        <v>14540</v>
      </c>
      <c r="I75">
        <v>2500</v>
      </c>
      <c r="J75">
        <v>593</v>
      </c>
      <c r="K75">
        <v>3575</v>
      </c>
      <c r="L75">
        <v>599</v>
      </c>
      <c r="M75">
        <v>194</v>
      </c>
      <c r="N75">
        <v>55140</v>
      </c>
      <c r="O75">
        <v>2114.84</v>
      </c>
      <c r="P75">
        <v>3756.78</v>
      </c>
      <c r="Q75">
        <v>17.190000000000001</v>
      </c>
      <c r="R75">
        <v>23.72</v>
      </c>
      <c r="S75">
        <v>77.64</v>
      </c>
      <c r="T75">
        <v>7.92</v>
      </c>
      <c r="U75">
        <f>Social_Media_Campaign_Data[[#This Row],[Likes]]+Social_Media_Campaign_Data[[#This Row],[Comments]]+Social_Media_Campaign_Data[[#This Row],[Shares]]</f>
        <v>4368</v>
      </c>
      <c r="V75" t="str">
        <f>TEXT(Social_Media_Campaign_Data[[#This Row],[Date]],"mmmm")</f>
        <v>April</v>
      </c>
    </row>
    <row r="76" spans="1:22" x14ac:dyDescent="0.3">
      <c r="A76" s="1" t="s">
        <v>121</v>
      </c>
      <c r="B76" s="1" t="s">
        <v>46</v>
      </c>
      <c r="C76" s="1" t="s">
        <v>58</v>
      </c>
      <c r="D76" s="1" t="s">
        <v>23</v>
      </c>
      <c r="E76" s="1" t="s">
        <v>30</v>
      </c>
      <c r="F76" s="1" t="s">
        <v>47</v>
      </c>
      <c r="G76" s="2">
        <v>45821</v>
      </c>
      <c r="H76">
        <v>46805</v>
      </c>
      <c r="I76">
        <v>2580</v>
      </c>
      <c r="J76">
        <v>520</v>
      </c>
      <c r="K76">
        <v>2291</v>
      </c>
      <c r="L76">
        <v>702</v>
      </c>
      <c r="M76">
        <v>19</v>
      </c>
      <c r="N76">
        <v>42700</v>
      </c>
      <c r="O76">
        <v>9039.6299999999992</v>
      </c>
      <c r="P76">
        <v>28279.46</v>
      </c>
      <c r="Q76">
        <v>5.51</v>
      </c>
      <c r="R76">
        <v>20.16</v>
      </c>
      <c r="S76">
        <v>212.84</v>
      </c>
      <c r="T76">
        <v>7.05</v>
      </c>
      <c r="U76">
        <f>Social_Media_Campaign_Data[[#This Row],[Likes]]+Social_Media_Campaign_Data[[#This Row],[Comments]]+Social_Media_Campaign_Data[[#This Row],[Shares]]</f>
        <v>3012</v>
      </c>
      <c r="V76" t="str">
        <f>TEXT(Social_Media_Campaign_Data[[#This Row],[Date]],"mmmm")</f>
        <v>June</v>
      </c>
    </row>
    <row r="77" spans="1:22" x14ac:dyDescent="0.3">
      <c r="A77" s="1" t="s">
        <v>122</v>
      </c>
      <c r="B77" s="1" t="s">
        <v>27</v>
      </c>
      <c r="C77" s="1" t="s">
        <v>28</v>
      </c>
      <c r="D77" s="1" t="s">
        <v>29</v>
      </c>
      <c r="E77" s="1" t="s">
        <v>30</v>
      </c>
      <c r="F77" s="1" t="s">
        <v>47</v>
      </c>
      <c r="G77" s="2">
        <v>45837</v>
      </c>
      <c r="H77">
        <v>32807</v>
      </c>
      <c r="I77">
        <v>6155</v>
      </c>
      <c r="J77">
        <v>306</v>
      </c>
      <c r="K77">
        <v>3942</v>
      </c>
      <c r="L77">
        <v>329</v>
      </c>
      <c r="M77">
        <v>213</v>
      </c>
      <c r="N77">
        <v>18979</v>
      </c>
      <c r="O77">
        <v>9994.0499999999993</v>
      </c>
      <c r="P77">
        <v>44840.05</v>
      </c>
      <c r="Q77">
        <v>18.760000000000002</v>
      </c>
      <c r="R77">
        <v>4.97</v>
      </c>
      <c r="S77">
        <v>348.67</v>
      </c>
      <c r="T77">
        <v>23.63</v>
      </c>
      <c r="U77">
        <f>Social_Media_Campaign_Data[[#This Row],[Likes]]+Social_Media_Campaign_Data[[#This Row],[Comments]]+Social_Media_Campaign_Data[[#This Row],[Shares]]</f>
        <v>4484</v>
      </c>
      <c r="V77" t="str">
        <f>TEXT(Social_Media_Campaign_Data[[#This Row],[Date]],"mmmm")</f>
        <v>June</v>
      </c>
    </row>
    <row r="78" spans="1:22" x14ac:dyDescent="0.3">
      <c r="A78" s="1" t="s">
        <v>123</v>
      </c>
      <c r="B78" s="1" t="s">
        <v>56</v>
      </c>
      <c r="C78" s="1" t="s">
        <v>36</v>
      </c>
      <c r="D78" s="1" t="s">
        <v>40</v>
      </c>
      <c r="E78" s="1" t="s">
        <v>41</v>
      </c>
      <c r="F78" s="1" t="s">
        <v>47</v>
      </c>
      <c r="G78" s="2">
        <v>45714</v>
      </c>
      <c r="H78">
        <v>24348</v>
      </c>
      <c r="I78">
        <v>679</v>
      </c>
      <c r="J78">
        <v>455</v>
      </c>
      <c r="K78">
        <v>2448</v>
      </c>
      <c r="L78">
        <v>28</v>
      </c>
      <c r="M78">
        <v>589</v>
      </c>
      <c r="N78">
        <v>11428</v>
      </c>
      <c r="O78">
        <v>8718.14</v>
      </c>
      <c r="P78">
        <v>36826.21</v>
      </c>
      <c r="Q78">
        <v>2.79</v>
      </c>
      <c r="R78">
        <v>67.010000000000005</v>
      </c>
      <c r="S78">
        <v>322.41000000000003</v>
      </c>
      <c r="T78">
        <v>26.82</v>
      </c>
      <c r="U78">
        <f>Social_Media_Campaign_Data[[#This Row],[Likes]]+Social_Media_Campaign_Data[[#This Row],[Comments]]+Social_Media_Campaign_Data[[#This Row],[Shares]]</f>
        <v>3065</v>
      </c>
      <c r="V78" t="str">
        <f>TEXT(Social_Media_Campaign_Data[[#This Row],[Date]],"mmmm")</f>
        <v>February</v>
      </c>
    </row>
    <row r="79" spans="1:22" x14ac:dyDescent="0.3">
      <c r="A79" s="1" t="s">
        <v>124</v>
      </c>
      <c r="B79" s="1" t="s">
        <v>44</v>
      </c>
      <c r="C79" s="1" t="s">
        <v>36</v>
      </c>
      <c r="D79" s="1" t="s">
        <v>23</v>
      </c>
      <c r="E79" s="1" t="s">
        <v>24</v>
      </c>
      <c r="F79" s="1" t="s">
        <v>47</v>
      </c>
      <c r="G79" s="2">
        <v>45691</v>
      </c>
      <c r="H79">
        <v>46721</v>
      </c>
      <c r="I79">
        <v>2057</v>
      </c>
      <c r="J79">
        <v>685</v>
      </c>
      <c r="K79">
        <v>2253</v>
      </c>
      <c r="L79">
        <v>714</v>
      </c>
      <c r="M79">
        <v>150</v>
      </c>
      <c r="N79">
        <v>89717</v>
      </c>
      <c r="O79">
        <v>6468.36</v>
      </c>
      <c r="P79">
        <v>30154.93</v>
      </c>
      <c r="Q79">
        <v>4.4000000000000004</v>
      </c>
      <c r="R79">
        <v>33.299999999999997</v>
      </c>
      <c r="S79">
        <v>366.19</v>
      </c>
      <c r="T79">
        <v>3.47</v>
      </c>
      <c r="U79">
        <f>Social_Media_Campaign_Data[[#This Row],[Likes]]+Social_Media_Campaign_Data[[#This Row],[Comments]]+Social_Media_Campaign_Data[[#This Row],[Shares]]</f>
        <v>3117</v>
      </c>
      <c r="V79" t="str">
        <f>TEXT(Social_Media_Campaign_Data[[#This Row],[Date]],"mmmm")</f>
        <v>February</v>
      </c>
    </row>
    <row r="80" spans="1:22" x14ac:dyDescent="0.3">
      <c r="A80" s="1" t="s">
        <v>125</v>
      </c>
      <c r="B80" s="1" t="s">
        <v>69</v>
      </c>
      <c r="C80" s="1" t="s">
        <v>49</v>
      </c>
      <c r="D80" s="1" t="s">
        <v>33</v>
      </c>
      <c r="E80" s="1" t="s">
        <v>50</v>
      </c>
      <c r="F80" s="1" t="s">
        <v>47</v>
      </c>
      <c r="G80" s="2">
        <v>45744</v>
      </c>
      <c r="H80">
        <v>10906</v>
      </c>
      <c r="I80">
        <v>2917</v>
      </c>
      <c r="J80">
        <v>384</v>
      </c>
      <c r="K80">
        <v>3603</v>
      </c>
      <c r="L80">
        <v>199</v>
      </c>
      <c r="M80">
        <v>215</v>
      </c>
      <c r="N80">
        <v>52953</v>
      </c>
      <c r="O80">
        <v>1755.52</v>
      </c>
      <c r="P80">
        <v>5947.57</v>
      </c>
      <c r="Q80">
        <v>26.75</v>
      </c>
      <c r="R80">
        <v>13.16</v>
      </c>
      <c r="S80">
        <v>238.79</v>
      </c>
      <c r="T80">
        <v>7.59</v>
      </c>
      <c r="U80">
        <f>Social_Media_Campaign_Data[[#This Row],[Likes]]+Social_Media_Campaign_Data[[#This Row],[Comments]]+Social_Media_Campaign_Data[[#This Row],[Shares]]</f>
        <v>4017</v>
      </c>
      <c r="V80" t="str">
        <f>TEXT(Social_Media_Campaign_Data[[#This Row],[Date]],"mmmm")</f>
        <v>March</v>
      </c>
    </row>
    <row r="81" spans="1:22" x14ac:dyDescent="0.3">
      <c r="A81" s="1" t="s">
        <v>126</v>
      </c>
      <c r="B81" s="1" t="s">
        <v>32</v>
      </c>
      <c r="C81" s="1" t="s">
        <v>58</v>
      </c>
      <c r="D81" s="1" t="s">
        <v>23</v>
      </c>
      <c r="E81" s="1" t="s">
        <v>24</v>
      </c>
      <c r="F81" s="1" t="s">
        <v>47</v>
      </c>
      <c r="G81" s="2">
        <v>45795</v>
      </c>
      <c r="H81">
        <v>12547</v>
      </c>
      <c r="I81">
        <v>4336</v>
      </c>
      <c r="J81">
        <v>127</v>
      </c>
      <c r="K81">
        <v>1353</v>
      </c>
      <c r="L81">
        <v>792</v>
      </c>
      <c r="M81">
        <v>241</v>
      </c>
      <c r="N81">
        <v>57089</v>
      </c>
      <c r="O81">
        <v>8671.34</v>
      </c>
      <c r="P81">
        <v>34986.76</v>
      </c>
      <c r="Q81">
        <v>34.56</v>
      </c>
      <c r="R81">
        <v>2.93</v>
      </c>
      <c r="S81">
        <v>303.48</v>
      </c>
      <c r="T81">
        <v>4.18</v>
      </c>
      <c r="U81">
        <f>Social_Media_Campaign_Data[[#This Row],[Likes]]+Social_Media_Campaign_Data[[#This Row],[Comments]]+Social_Media_Campaign_Data[[#This Row],[Shares]]</f>
        <v>2386</v>
      </c>
      <c r="V81" t="str">
        <f>TEXT(Social_Media_Campaign_Data[[#This Row],[Date]],"mmmm")</f>
        <v>May</v>
      </c>
    </row>
    <row r="82" spans="1:22" x14ac:dyDescent="0.3">
      <c r="A82" s="1" t="s">
        <v>127</v>
      </c>
      <c r="B82" s="1" t="s">
        <v>27</v>
      </c>
      <c r="C82" s="1" t="s">
        <v>28</v>
      </c>
      <c r="D82" s="1" t="s">
        <v>37</v>
      </c>
      <c r="E82" s="1" t="s">
        <v>41</v>
      </c>
      <c r="F82" s="1" t="s">
        <v>47</v>
      </c>
      <c r="G82" s="2">
        <v>45814</v>
      </c>
      <c r="H82">
        <v>13099</v>
      </c>
      <c r="I82">
        <v>4225</v>
      </c>
      <c r="J82">
        <v>427</v>
      </c>
      <c r="K82">
        <v>2347</v>
      </c>
      <c r="L82">
        <v>618</v>
      </c>
      <c r="M82">
        <v>400</v>
      </c>
      <c r="N82">
        <v>19201</v>
      </c>
      <c r="O82">
        <v>8312.9599999999991</v>
      </c>
      <c r="P82">
        <v>39827.57</v>
      </c>
      <c r="Q82">
        <v>32.25</v>
      </c>
      <c r="R82">
        <v>10.11</v>
      </c>
      <c r="S82">
        <v>379.1</v>
      </c>
      <c r="T82">
        <v>17.53</v>
      </c>
      <c r="U82">
        <f>Social_Media_Campaign_Data[[#This Row],[Likes]]+Social_Media_Campaign_Data[[#This Row],[Comments]]+Social_Media_Campaign_Data[[#This Row],[Shares]]</f>
        <v>3365</v>
      </c>
      <c r="V82" t="str">
        <f>TEXT(Social_Media_Campaign_Data[[#This Row],[Date]],"mmmm")</f>
        <v>June</v>
      </c>
    </row>
    <row r="83" spans="1:22" x14ac:dyDescent="0.3">
      <c r="A83" s="1" t="s">
        <v>128</v>
      </c>
      <c r="B83" s="1" t="s">
        <v>44</v>
      </c>
      <c r="C83" s="1" t="s">
        <v>36</v>
      </c>
      <c r="D83" s="1" t="s">
        <v>23</v>
      </c>
      <c r="E83" s="1" t="s">
        <v>24</v>
      </c>
      <c r="F83" s="1" t="s">
        <v>25</v>
      </c>
      <c r="G83" s="2">
        <v>45718</v>
      </c>
      <c r="H83">
        <v>19507</v>
      </c>
      <c r="I83">
        <v>5805</v>
      </c>
      <c r="J83">
        <v>114</v>
      </c>
      <c r="K83">
        <v>4003</v>
      </c>
      <c r="L83">
        <v>737</v>
      </c>
      <c r="M83">
        <v>319</v>
      </c>
      <c r="N83">
        <v>10943</v>
      </c>
      <c r="O83">
        <v>6667.77</v>
      </c>
      <c r="P83">
        <v>12724.54</v>
      </c>
      <c r="Q83">
        <v>29.76</v>
      </c>
      <c r="R83">
        <v>1.96</v>
      </c>
      <c r="S83">
        <v>90.84</v>
      </c>
      <c r="T83">
        <v>46.23</v>
      </c>
      <c r="U83">
        <f>Social_Media_Campaign_Data[[#This Row],[Likes]]+Social_Media_Campaign_Data[[#This Row],[Comments]]+Social_Media_Campaign_Data[[#This Row],[Shares]]</f>
        <v>5059</v>
      </c>
      <c r="V83" t="str">
        <f>TEXT(Social_Media_Campaign_Data[[#This Row],[Date]],"mmmm")</f>
        <v>March</v>
      </c>
    </row>
    <row r="84" spans="1:22" x14ac:dyDescent="0.3">
      <c r="A84" s="1" t="s">
        <v>129</v>
      </c>
      <c r="B84" s="1" t="s">
        <v>63</v>
      </c>
      <c r="C84" s="1" t="s">
        <v>58</v>
      </c>
      <c r="D84" s="1" t="s">
        <v>23</v>
      </c>
      <c r="E84" s="1" t="s">
        <v>41</v>
      </c>
      <c r="F84" s="1" t="s">
        <v>34</v>
      </c>
      <c r="G84" s="2">
        <v>45729</v>
      </c>
      <c r="H84">
        <v>40228</v>
      </c>
      <c r="I84">
        <v>1611</v>
      </c>
      <c r="J84">
        <v>447</v>
      </c>
      <c r="K84">
        <v>3916</v>
      </c>
      <c r="L84">
        <v>399</v>
      </c>
      <c r="M84">
        <v>563</v>
      </c>
      <c r="N84">
        <v>25253</v>
      </c>
      <c r="O84">
        <v>4481.7</v>
      </c>
      <c r="P84">
        <v>18365.740000000002</v>
      </c>
      <c r="Q84">
        <v>4</v>
      </c>
      <c r="R84">
        <v>27.75</v>
      </c>
      <c r="S84">
        <v>309.79000000000002</v>
      </c>
      <c r="T84">
        <v>19.32</v>
      </c>
      <c r="U84">
        <f>Social_Media_Campaign_Data[[#This Row],[Likes]]+Social_Media_Campaign_Data[[#This Row],[Comments]]+Social_Media_Campaign_Data[[#This Row],[Shares]]</f>
        <v>4878</v>
      </c>
      <c r="V84" t="str">
        <f>TEXT(Social_Media_Campaign_Data[[#This Row],[Date]],"mmmm")</f>
        <v>March</v>
      </c>
    </row>
    <row r="85" spans="1:22" x14ac:dyDescent="0.3">
      <c r="A85" s="1" t="s">
        <v>130</v>
      </c>
      <c r="B85" s="1" t="s">
        <v>32</v>
      </c>
      <c r="C85" s="1" t="s">
        <v>22</v>
      </c>
      <c r="D85" s="1" t="s">
        <v>33</v>
      </c>
      <c r="E85" s="1" t="s">
        <v>24</v>
      </c>
      <c r="F85" s="1" t="s">
        <v>34</v>
      </c>
      <c r="G85" s="2">
        <v>45728</v>
      </c>
      <c r="H85">
        <v>7144</v>
      </c>
      <c r="I85">
        <v>3327</v>
      </c>
      <c r="J85">
        <v>429</v>
      </c>
      <c r="K85">
        <v>1979</v>
      </c>
      <c r="L85">
        <v>474</v>
      </c>
      <c r="M85">
        <v>465</v>
      </c>
      <c r="N85">
        <v>18022</v>
      </c>
      <c r="O85">
        <v>9530.27</v>
      </c>
      <c r="P85">
        <v>42829.75</v>
      </c>
      <c r="Q85">
        <v>46.57</v>
      </c>
      <c r="R85">
        <v>12.89</v>
      </c>
      <c r="S85">
        <v>349.41</v>
      </c>
      <c r="T85">
        <v>16.190000000000001</v>
      </c>
      <c r="U85">
        <f>Social_Media_Campaign_Data[[#This Row],[Likes]]+Social_Media_Campaign_Data[[#This Row],[Comments]]+Social_Media_Campaign_Data[[#This Row],[Shares]]</f>
        <v>2918</v>
      </c>
      <c r="V85" t="str">
        <f>TEXT(Social_Media_Campaign_Data[[#This Row],[Date]],"mmmm")</f>
        <v>March</v>
      </c>
    </row>
    <row r="86" spans="1:22" x14ac:dyDescent="0.3">
      <c r="A86" s="1" t="s">
        <v>131</v>
      </c>
      <c r="B86" s="1" t="s">
        <v>44</v>
      </c>
      <c r="C86" s="1" t="s">
        <v>36</v>
      </c>
      <c r="D86" s="1" t="s">
        <v>40</v>
      </c>
      <c r="E86" s="1" t="s">
        <v>38</v>
      </c>
      <c r="F86" s="1" t="s">
        <v>42</v>
      </c>
      <c r="G86" s="2">
        <v>45675</v>
      </c>
      <c r="H86">
        <v>17439</v>
      </c>
      <c r="I86">
        <v>1500</v>
      </c>
      <c r="J86">
        <v>918</v>
      </c>
      <c r="K86">
        <v>3925</v>
      </c>
      <c r="L86">
        <v>113</v>
      </c>
      <c r="M86">
        <v>227</v>
      </c>
      <c r="N86">
        <v>7799</v>
      </c>
      <c r="O86">
        <v>6596.19</v>
      </c>
      <c r="P86">
        <v>23680.39</v>
      </c>
      <c r="Q86">
        <v>8.6</v>
      </c>
      <c r="R86">
        <v>61.2</v>
      </c>
      <c r="S86">
        <v>259</v>
      </c>
      <c r="T86">
        <v>54.69</v>
      </c>
      <c r="U86">
        <f>Social_Media_Campaign_Data[[#This Row],[Likes]]+Social_Media_Campaign_Data[[#This Row],[Comments]]+Social_Media_Campaign_Data[[#This Row],[Shares]]</f>
        <v>4265</v>
      </c>
      <c r="V86" t="str">
        <f>TEXT(Social_Media_Campaign_Data[[#This Row],[Date]],"mmmm")</f>
        <v>January</v>
      </c>
    </row>
    <row r="87" spans="1:22" x14ac:dyDescent="0.3">
      <c r="A87" s="1" t="s">
        <v>132</v>
      </c>
      <c r="B87" s="1" t="s">
        <v>44</v>
      </c>
      <c r="C87" s="1" t="s">
        <v>36</v>
      </c>
      <c r="D87" s="1" t="s">
        <v>40</v>
      </c>
      <c r="E87" s="1" t="s">
        <v>38</v>
      </c>
      <c r="F87" s="1" t="s">
        <v>47</v>
      </c>
      <c r="G87" s="2">
        <v>45702</v>
      </c>
      <c r="H87">
        <v>41320</v>
      </c>
      <c r="I87">
        <v>2197</v>
      </c>
      <c r="J87">
        <v>650</v>
      </c>
      <c r="K87">
        <v>1969</v>
      </c>
      <c r="L87">
        <v>258</v>
      </c>
      <c r="M87">
        <v>346</v>
      </c>
      <c r="N87">
        <v>83116</v>
      </c>
      <c r="O87">
        <v>7856.5</v>
      </c>
      <c r="P87">
        <v>33470.68</v>
      </c>
      <c r="Q87">
        <v>5.32</v>
      </c>
      <c r="R87">
        <v>29.59</v>
      </c>
      <c r="S87">
        <v>326.02999999999997</v>
      </c>
      <c r="T87">
        <v>3.1</v>
      </c>
      <c r="U87">
        <f>Social_Media_Campaign_Data[[#This Row],[Likes]]+Social_Media_Campaign_Data[[#This Row],[Comments]]+Social_Media_Campaign_Data[[#This Row],[Shares]]</f>
        <v>2573</v>
      </c>
      <c r="V87" t="str">
        <f>TEXT(Social_Media_Campaign_Data[[#This Row],[Date]],"mmmm")</f>
        <v>February</v>
      </c>
    </row>
    <row r="88" spans="1:22" x14ac:dyDescent="0.3">
      <c r="A88" s="1" t="s">
        <v>133</v>
      </c>
      <c r="B88" s="1" t="s">
        <v>32</v>
      </c>
      <c r="C88" s="1" t="s">
        <v>58</v>
      </c>
      <c r="D88" s="1" t="s">
        <v>40</v>
      </c>
      <c r="E88" s="1" t="s">
        <v>30</v>
      </c>
      <c r="F88" s="1" t="s">
        <v>25</v>
      </c>
      <c r="G88" s="2">
        <v>45690</v>
      </c>
      <c r="H88">
        <v>12204</v>
      </c>
      <c r="I88">
        <v>5915</v>
      </c>
      <c r="J88">
        <v>937</v>
      </c>
      <c r="K88">
        <v>411</v>
      </c>
      <c r="L88">
        <v>154</v>
      </c>
      <c r="M88">
        <v>25</v>
      </c>
      <c r="N88">
        <v>82182</v>
      </c>
      <c r="O88">
        <v>3903.3</v>
      </c>
      <c r="P88">
        <v>16626.150000000001</v>
      </c>
      <c r="Q88">
        <v>48.47</v>
      </c>
      <c r="R88">
        <v>15.84</v>
      </c>
      <c r="S88">
        <v>325.95</v>
      </c>
      <c r="T88">
        <v>0.72</v>
      </c>
      <c r="U88">
        <f>Social_Media_Campaign_Data[[#This Row],[Likes]]+Social_Media_Campaign_Data[[#This Row],[Comments]]+Social_Media_Campaign_Data[[#This Row],[Shares]]</f>
        <v>590</v>
      </c>
      <c r="V88" t="str">
        <f>TEXT(Social_Media_Campaign_Data[[#This Row],[Date]],"mmmm")</f>
        <v>February</v>
      </c>
    </row>
    <row r="89" spans="1:22" x14ac:dyDescent="0.3">
      <c r="A89" s="1" t="s">
        <v>134</v>
      </c>
      <c r="B89" s="1" t="s">
        <v>56</v>
      </c>
      <c r="C89" s="1" t="s">
        <v>22</v>
      </c>
      <c r="D89" s="1" t="s">
        <v>40</v>
      </c>
      <c r="E89" s="1" t="s">
        <v>41</v>
      </c>
      <c r="F89" s="1" t="s">
        <v>25</v>
      </c>
      <c r="G89" s="2">
        <v>45826</v>
      </c>
      <c r="H89">
        <v>32588</v>
      </c>
      <c r="I89">
        <v>4809</v>
      </c>
      <c r="J89">
        <v>166</v>
      </c>
      <c r="K89">
        <v>720</v>
      </c>
      <c r="L89">
        <v>507</v>
      </c>
      <c r="M89">
        <v>469</v>
      </c>
      <c r="N89">
        <v>19293</v>
      </c>
      <c r="O89">
        <v>7891.16</v>
      </c>
      <c r="P89">
        <v>26011.89</v>
      </c>
      <c r="Q89">
        <v>14.76</v>
      </c>
      <c r="R89">
        <v>3.45</v>
      </c>
      <c r="S89">
        <v>229.63</v>
      </c>
      <c r="T89">
        <v>8.7899999999999991</v>
      </c>
      <c r="U89">
        <f>Social_Media_Campaign_Data[[#This Row],[Likes]]+Social_Media_Campaign_Data[[#This Row],[Comments]]+Social_Media_Campaign_Data[[#This Row],[Shares]]</f>
        <v>1696</v>
      </c>
      <c r="V89" t="str">
        <f>TEXT(Social_Media_Campaign_Data[[#This Row],[Date]],"mmmm")</f>
        <v>June</v>
      </c>
    </row>
    <row r="90" spans="1:22" x14ac:dyDescent="0.3">
      <c r="A90" s="1" t="s">
        <v>135</v>
      </c>
      <c r="B90" s="1" t="s">
        <v>56</v>
      </c>
      <c r="C90" s="1" t="s">
        <v>28</v>
      </c>
      <c r="D90" s="1" t="s">
        <v>37</v>
      </c>
      <c r="E90" s="1" t="s">
        <v>24</v>
      </c>
      <c r="F90" s="1" t="s">
        <v>47</v>
      </c>
      <c r="G90" s="2">
        <v>45813</v>
      </c>
      <c r="H90">
        <v>39173</v>
      </c>
      <c r="I90">
        <v>2970</v>
      </c>
      <c r="J90">
        <v>519</v>
      </c>
      <c r="K90">
        <v>455</v>
      </c>
      <c r="L90">
        <v>82</v>
      </c>
      <c r="M90">
        <v>500</v>
      </c>
      <c r="N90">
        <v>19150</v>
      </c>
      <c r="O90">
        <v>8549.34</v>
      </c>
      <c r="P90">
        <v>25579.26</v>
      </c>
      <c r="Q90">
        <v>7.58</v>
      </c>
      <c r="R90">
        <v>17.47</v>
      </c>
      <c r="S90">
        <v>199.2</v>
      </c>
      <c r="T90">
        <v>5.42</v>
      </c>
      <c r="U90">
        <f>Social_Media_Campaign_Data[[#This Row],[Likes]]+Social_Media_Campaign_Data[[#This Row],[Comments]]+Social_Media_Campaign_Data[[#This Row],[Shares]]</f>
        <v>1037</v>
      </c>
      <c r="V90" t="str">
        <f>TEXT(Social_Media_Campaign_Data[[#This Row],[Date]],"mmmm")</f>
        <v>June</v>
      </c>
    </row>
    <row r="91" spans="1:22" x14ac:dyDescent="0.3">
      <c r="A91" s="1" t="s">
        <v>136</v>
      </c>
      <c r="B91" s="1" t="s">
        <v>69</v>
      </c>
      <c r="C91" s="1" t="s">
        <v>28</v>
      </c>
      <c r="D91" s="1" t="s">
        <v>29</v>
      </c>
      <c r="E91" s="1" t="s">
        <v>41</v>
      </c>
      <c r="F91" s="1" t="s">
        <v>34</v>
      </c>
      <c r="G91" s="2">
        <v>45683</v>
      </c>
      <c r="H91">
        <v>14721</v>
      </c>
      <c r="I91">
        <v>1038</v>
      </c>
      <c r="J91">
        <v>179</v>
      </c>
      <c r="K91">
        <v>2452</v>
      </c>
      <c r="L91">
        <v>659</v>
      </c>
      <c r="M91">
        <v>571</v>
      </c>
      <c r="N91">
        <v>83301</v>
      </c>
      <c r="O91">
        <v>7265.45</v>
      </c>
      <c r="P91">
        <v>20584.22</v>
      </c>
      <c r="Q91">
        <v>7.05</v>
      </c>
      <c r="R91">
        <v>17.239999999999998</v>
      </c>
      <c r="S91">
        <v>183.32</v>
      </c>
      <c r="T91">
        <v>4.42</v>
      </c>
      <c r="U91">
        <f>Social_Media_Campaign_Data[[#This Row],[Likes]]+Social_Media_Campaign_Data[[#This Row],[Comments]]+Social_Media_Campaign_Data[[#This Row],[Shares]]</f>
        <v>3682</v>
      </c>
      <c r="V91" t="str">
        <f>TEXT(Social_Media_Campaign_Data[[#This Row],[Date]],"mmmm")</f>
        <v>January</v>
      </c>
    </row>
    <row r="92" spans="1:22" x14ac:dyDescent="0.3">
      <c r="A92" s="1" t="s">
        <v>137</v>
      </c>
      <c r="B92" s="1" t="s">
        <v>32</v>
      </c>
      <c r="C92" s="1" t="s">
        <v>28</v>
      </c>
      <c r="D92" s="1" t="s">
        <v>23</v>
      </c>
      <c r="E92" s="1" t="s">
        <v>50</v>
      </c>
      <c r="F92" s="1" t="s">
        <v>25</v>
      </c>
      <c r="G92" s="2">
        <v>45738</v>
      </c>
      <c r="H92">
        <v>12498</v>
      </c>
      <c r="I92">
        <v>5863</v>
      </c>
      <c r="J92">
        <v>716</v>
      </c>
      <c r="K92">
        <v>4716</v>
      </c>
      <c r="L92">
        <v>758</v>
      </c>
      <c r="M92">
        <v>230</v>
      </c>
      <c r="N92">
        <v>59239</v>
      </c>
      <c r="O92">
        <v>4585.66</v>
      </c>
      <c r="P92">
        <v>21132.18</v>
      </c>
      <c r="Q92">
        <v>46.91</v>
      </c>
      <c r="R92">
        <v>12.21</v>
      </c>
      <c r="S92">
        <v>360.83</v>
      </c>
      <c r="T92">
        <v>9.6300000000000008</v>
      </c>
      <c r="U92">
        <f>Social_Media_Campaign_Data[[#This Row],[Likes]]+Social_Media_Campaign_Data[[#This Row],[Comments]]+Social_Media_Campaign_Data[[#This Row],[Shares]]</f>
        <v>5704</v>
      </c>
      <c r="V92" t="str">
        <f>TEXT(Social_Media_Campaign_Data[[#This Row],[Date]],"mmmm")</f>
        <v>March</v>
      </c>
    </row>
    <row r="93" spans="1:22" x14ac:dyDescent="0.3">
      <c r="A93" s="1" t="s">
        <v>138</v>
      </c>
      <c r="B93" s="1" t="s">
        <v>21</v>
      </c>
      <c r="C93" s="1" t="s">
        <v>58</v>
      </c>
      <c r="D93" s="1" t="s">
        <v>23</v>
      </c>
      <c r="E93" s="1" t="s">
        <v>24</v>
      </c>
      <c r="F93" s="1" t="s">
        <v>47</v>
      </c>
      <c r="G93" s="2">
        <v>45691</v>
      </c>
      <c r="H93">
        <v>32968</v>
      </c>
      <c r="I93">
        <v>3060</v>
      </c>
      <c r="J93">
        <v>731</v>
      </c>
      <c r="K93">
        <v>2288</v>
      </c>
      <c r="L93">
        <v>403</v>
      </c>
      <c r="M93">
        <v>166</v>
      </c>
      <c r="N93">
        <v>16957</v>
      </c>
      <c r="O93">
        <v>7024.8</v>
      </c>
      <c r="P93">
        <v>22197.93</v>
      </c>
      <c r="Q93">
        <v>9.2799999999999994</v>
      </c>
      <c r="R93">
        <v>23.89</v>
      </c>
      <c r="S93">
        <v>215.99</v>
      </c>
      <c r="T93">
        <v>16.850000000000001</v>
      </c>
      <c r="U93">
        <f>Social_Media_Campaign_Data[[#This Row],[Likes]]+Social_Media_Campaign_Data[[#This Row],[Comments]]+Social_Media_Campaign_Data[[#This Row],[Shares]]</f>
        <v>2857</v>
      </c>
      <c r="V93" t="str">
        <f>TEXT(Social_Media_Campaign_Data[[#This Row],[Date]],"mmmm")</f>
        <v>February</v>
      </c>
    </row>
    <row r="94" spans="1:22" x14ac:dyDescent="0.3">
      <c r="A94" s="1" t="s">
        <v>139</v>
      </c>
      <c r="B94" s="1" t="s">
        <v>63</v>
      </c>
      <c r="C94" s="1" t="s">
        <v>58</v>
      </c>
      <c r="D94" s="1" t="s">
        <v>33</v>
      </c>
      <c r="E94" s="1" t="s">
        <v>41</v>
      </c>
      <c r="F94" s="1" t="s">
        <v>47</v>
      </c>
      <c r="G94" s="2">
        <v>45748</v>
      </c>
      <c r="H94">
        <v>41462</v>
      </c>
      <c r="I94">
        <v>991</v>
      </c>
      <c r="J94">
        <v>650</v>
      </c>
      <c r="K94">
        <v>4800</v>
      </c>
      <c r="L94">
        <v>595</v>
      </c>
      <c r="M94">
        <v>347</v>
      </c>
      <c r="N94">
        <v>92207</v>
      </c>
      <c r="O94">
        <v>6865.13</v>
      </c>
      <c r="P94">
        <v>20168.59</v>
      </c>
      <c r="Q94">
        <v>2.39</v>
      </c>
      <c r="R94">
        <v>65.59</v>
      </c>
      <c r="S94">
        <v>193.78</v>
      </c>
      <c r="T94">
        <v>6.23</v>
      </c>
      <c r="U94">
        <f>Social_Media_Campaign_Data[[#This Row],[Likes]]+Social_Media_Campaign_Data[[#This Row],[Comments]]+Social_Media_Campaign_Data[[#This Row],[Shares]]</f>
        <v>5742</v>
      </c>
      <c r="V94" t="str">
        <f>TEXT(Social_Media_Campaign_Data[[#This Row],[Date]],"mmmm")</f>
        <v>April</v>
      </c>
    </row>
    <row r="95" spans="1:22" x14ac:dyDescent="0.3">
      <c r="A95" s="1" t="s">
        <v>140</v>
      </c>
      <c r="B95" s="1" t="s">
        <v>32</v>
      </c>
      <c r="C95" s="1" t="s">
        <v>58</v>
      </c>
      <c r="D95" s="1" t="s">
        <v>33</v>
      </c>
      <c r="E95" s="1" t="s">
        <v>41</v>
      </c>
      <c r="F95" s="1" t="s">
        <v>42</v>
      </c>
      <c r="G95" s="2">
        <v>45767</v>
      </c>
      <c r="H95">
        <v>11789</v>
      </c>
      <c r="I95">
        <v>5234</v>
      </c>
      <c r="J95">
        <v>569</v>
      </c>
      <c r="K95">
        <v>1942</v>
      </c>
      <c r="L95">
        <v>178</v>
      </c>
      <c r="M95">
        <v>503</v>
      </c>
      <c r="N95">
        <v>77910</v>
      </c>
      <c r="O95">
        <v>2630.33</v>
      </c>
      <c r="P95">
        <v>4941.7700000000004</v>
      </c>
      <c r="Q95">
        <v>44.4</v>
      </c>
      <c r="R95">
        <v>10.87</v>
      </c>
      <c r="S95">
        <v>87.88</v>
      </c>
      <c r="T95">
        <v>3.37</v>
      </c>
      <c r="U95">
        <f>Social_Media_Campaign_Data[[#This Row],[Likes]]+Social_Media_Campaign_Data[[#This Row],[Comments]]+Social_Media_Campaign_Data[[#This Row],[Shares]]</f>
        <v>2623</v>
      </c>
      <c r="V95" t="str">
        <f>TEXT(Social_Media_Campaign_Data[[#This Row],[Date]],"mmmm")</f>
        <v>April</v>
      </c>
    </row>
    <row r="96" spans="1:22" x14ac:dyDescent="0.3">
      <c r="A96" s="1" t="s">
        <v>141</v>
      </c>
      <c r="B96" s="1" t="s">
        <v>32</v>
      </c>
      <c r="C96" s="1" t="s">
        <v>36</v>
      </c>
      <c r="D96" s="1" t="s">
        <v>37</v>
      </c>
      <c r="E96" s="1" t="s">
        <v>38</v>
      </c>
      <c r="F96" s="1" t="s">
        <v>42</v>
      </c>
      <c r="G96" s="2">
        <v>45802</v>
      </c>
      <c r="H96">
        <v>41763</v>
      </c>
      <c r="I96">
        <v>6786</v>
      </c>
      <c r="J96">
        <v>888</v>
      </c>
      <c r="K96">
        <v>4760</v>
      </c>
      <c r="L96">
        <v>46</v>
      </c>
      <c r="M96">
        <v>283</v>
      </c>
      <c r="N96">
        <v>45499</v>
      </c>
      <c r="O96">
        <v>775.06</v>
      </c>
      <c r="P96">
        <v>1903.89</v>
      </c>
      <c r="Q96">
        <v>16.25</v>
      </c>
      <c r="R96">
        <v>13.09</v>
      </c>
      <c r="S96">
        <v>145.63999999999999</v>
      </c>
      <c r="T96">
        <v>11.18</v>
      </c>
      <c r="U96">
        <f>Social_Media_Campaign_Data[[#This Row],[Likes]]+Social_Media_Campaign_Data[[#This Row],[Comments]]+Social_Media_Campaign_Data[[#This Row],[Shares]]</f>
        <v>5089</v>
      </c>
      <c r="V96" t="str">
        <f>TEXT(Social_Media_Campaign_Data[[#This Row],[Date]],"mmmm")</f>
        <v>May</v>
      </c>
    </row>
    <row r="97" spans="1:22" x14ac:dyDescent="0.3">
      <c r="A97" s="1" t="s">
        <v>142</v>
      </c>
      <c r="B97" s="1" t="s">
        <v>63</v>
      </c>
      <c r="C97" s="1" t="s">
        <v>28</v>
      </c>
      <c r="D97" s="1" t="s">
        <v>33</v>
      </c>
      <c r="E97" s="1" t="s">
        <v>38</v>
      </c>
      <c r="F97" s="1" t="s">
        <v>47</v>
      </c>
      <c r="G97" s="2">
        <v>45737</v>
      </c>
      <c r="H97">
        <v>48079</v>
      </c>
      <c r="I97">
        <v>3783</v>
      </c>
      <c r="J97">
        <v>121</v>
      </c>
      <c r="K97">
        <v>1362</v>
      </c>
      <c r="L97">
        <v>778</v>
      </c>
      <c r="M97">
        <v>41</v>
      </c>
      <c r="N97">
        <v>54308</v>
      </c>
      <c r="O97">
        <v>1371.7</v>
      </c>
      <c r="P97">
        <v>4604.37</v>
      </c>
      <c r="Q97">
        <v>7.87</v>
      </c>
      <c r="R97">
        <v>3.2</v>
      </c>
      <c r="S97">
        <v>235.67</v>
      </c>
      <c r="T97">
        <v>4.0199999999999996</v>
      </c>
      <c r="U97">
        <f>Social_Media_Campaign_Data[[#This Row],[Likes]]+Social_Media_Campaign_Data[[#This Row],[Comments]]+Social_Media_Campaign_Data[[#This Row],[Shares]]</f>
        <v>2181</v>
      </c>
      <c r="V97" t="str">
        <f>TEXT(Social_Media_Campaign_Data[[#This Row],[Date]],"mmmm")</f>
        <v>March</v>
      </c>
    </row>
    <row r="98" spans="1:22" x14ac:dyDescent="0.3">
      <c r="A98" s="1" t="s">
        <v>143</v>
      </c>
      <c r="B98" s="1" t="s">
        <v>21</v>
      </c>
      <c r="C98" s="1" t="s">
        <v>36</v>
      </c>
      <c r="D98" s="1" t="s">
        <v>23</v>
      </c>
      <c r="E98" s="1" t="s">
        <v>50</v>
      </c>
      <c r="F98" s="1" t="s">
        <v>34</v>
      </c>
      <c r="G98" s="2">
        <v>45813</v>
      </c>
      <c r="H98">
        <v>26258</v>
      </c>
      <c r="I98">
        <v>6863</v>
      </c>
      <c r="J98">
        <v>631</v>
      </c>
      <c r="K98">
        <v>895</v>
      </c>
      <c r="L98">
        <v>73</v>
      </c>
      <c r="M98">
        <v>169</v>
      </c>
      <c r="N98">
        <v>93338</v>
      </c>
      <c r="O98">
        <v>1995.39</v>
      </c>
      <c r="P98">
        <v>7307.98</v>
      </c>
      <c r="Q98">
        <v>26.14</v>
      </c>
      <c r="R98">
        <v>9.19</v>
      </c>
      <c r="S98">
        <v>266.24</v>
      </c>
      <c r="T98">
        <v>1.22</v>
      </c>
      <c r="U98">
        <f>Social_Media_Campaign_Data[[#This Row],[Likes]]+Social_Media_Campaign_Data[[#This Row],[Comments]]+Social_Media_Campaign_Data[[#This Row],[Shares]]</f>
        <v>1137</v>
      </c>
      <c r="V98" t="str">
        <f>TEXT(Social_Media_Campaign_Data[[#This Row],[Date]],"mmmm")</f>
        <v>June</v>
      </c>
    </row>
    <row r="99" spans="1:22" x14ac:dyDescent="0.3">
      <c r="A99" s="1" t="s">
        <v>144</v>
      </c>
      <c r="B99" s="1" t="s">
        <v>56</v>
      </c>
      <c r="C99" s="1" t="s">
        <v>22</v>
      </c>
      <c r="D99" s="1" t="s">
        <v>33</v>
      </c>
      <c r="E99" s="1" t="s">
        <v>24</v>
      </c>
      <c r="F99" s="1" t="s">
        <v>42</v>
      </c>
      <c r="G99" s="2">
        <v>45759</v>
      </c>
      <c r="H99">
        <v>33969</v>
      </c>
      <c r="I99">
        <v>3892</v>
      </c>
      <c r="J99">
        <v>329</v>
      </c>
      <c r="K99">
        <v>1965</v>
      </c>
      <c r="L99">
        <v>793</v>
      </c>
      <c r="M99">
        <v>534</v>
      </c>
      <c r="N99">
        <v>42125</v>
      </c>
      <c r="O99">
        <v>1581.27</v>
      </c>
      <c r="P99">
        <v>4751.24</v>
      </c>
      <c r="Q99">
        <v>11.46</v>
      </c>
      <c r="R99">
        <v>8.4499999999999993</v>
      </c>
      <c r="S99">
        <v>200.47</v>
      </c>
      <c r="T99">
        <v>7.81</v>
      </c>
      <c r="U99">
        <f>Social_Media_Campaign_Data[[#This Row],[Likes]]+Social_Media_Campaign_Data[[#This Row],[Comments]]+Social_Media_Campaign_Data[[#This Row],[Shares]]</f>
        <v>3292</v>
      </c>
      <c r="V99" t="str">
        <f>TEXT(Social_Media_Campaign_Data[[#This Row],[Date]],"mmmm")</f>
        <v>April</v>
      </c>
    </row>
    <row r="100" spans="1:22" x14ac:dyDescent="0.3">
      <c r="A100" s="1" t="s">
        <v>145</v>
      </c>
      <c r="B100" s="1" t="s">
        <v>32</v>
      </c>
      <c r="C100" s="1" t="s">
        <v>58</v>
      </c>
      <c r="D100" s="1" t="s">
        <v>37</v>
      </c>
      <c r="E100" s="1" t="s">
        <v>50</v>
      </c>
      <c r="F100" s="1" t="s">
        <v>34</v>
      </c>
      <c r="G100" s="2">
        <v>45702</v>
      </c>
      <c r="H100">
        <v>44277</v>
      </c>
      <c r="I100">
        <v>948</v>
      </c>
      <c r="J100">
        <v>57</v>
      </c>
      <c r="K100">
        <v>1874</v>
      </c>
      <c r="L100">
        <v>328</v>
      </c>
      <c r="M100">
        <v>226</v>
      </c>
      <c r="N100">
        <v>42938</v>
      </c>
      <c r="O100">
        <v>7789.82</v>
      </c>
      <c r="P100">
        <v>32519.1</v>
      </c>
      <c r="Q100">
        <v>2.14</v>
      </c>
      <c r="R100">
        <v>6.01</v>
      </c>
      <c r="S100">
        <v>317.45999999999998</v>
      </c>
      <c r="T100">
        <v>5.65</v>
      </c>
      <c r="U100">
        <f>Social_Media_Campaign_Data[[#This Row],[Likes]]+Social_Media_Campaign_Data[[#This Row],[Comments]]+Social_Media_Campaign_Data[[#This Row],[Shares]]</f>
        <v>2428</v>
      </c>
      <c r="V100" t="str">
        <f>TEXT(Social_Media_Campaign_Data[[#This Row],[Date]],"mmmm")</f>
        <v>February</v>
      </c>
    </row>
    <row r="101" spans="1:22" x14ac:dyDescent="0.3">
      <c r="A101" s="1" t="s">
        <v>146</v>
      </c>
      <c r="B101" s="1" t="s">
        <v>63</v>
      </c>
      <c r="C101" s="1" t="s">
        <v>58</v>
      </c>
      <c r="D101" s="1" t="s">
        <v>23</v>
      </c>
      <c r="E101" s="1" t="s">
        <v>24</v>
      </c>
      <c r="F101" s="1" t="s">
        <v>34</v>
      </c>
      <c r="G101" s="2">
        <v>45677</v>
      </c>
      <c r="H101">
        <v>13466</v>
      </c>
      <c r="I101">
        <v>3614</v>
      </c>
      <c r="J101">
        <v>595</v>
      </c>
      <c r="K101">
        <v>2085</v>
      </c>
      <c r="L101">
        <v>532</v>
      </c>
      <c r="M101">
        <v>582</v>
      </c>
      <c r="N101">
        <v>14447</v>
      </c>
      <c r="O101">
        <v>8416.86</v>
      </c>
      <c r="P101">
        <v>36375.15</v>
      </c>
      <c r="Q101">
        <v>26.84</v>
      </c>
      <c r="R101">
        <v>16.46</v>
      </c>
      <c r="S101">
        <v>332.17</v>
      </c>
      <c r="T101">
        <v>22.14</v>
      </c>
      <c r="U101">
        <f>Social_Media_Campaign_Data[[#This Row],[Likes]]+Social_Media_Campaign_Data[[#This Row],[Comments]]+Social_Media_Campaign_Data[[#This Row],[Shares]]</f>
        <v>3199</v>
      </c>
      <c r="V101" t="str">
        <f>TEXT(Social_Media_Campaign_Data[[#This Row],[Date]],"mmmm")</f>
        <v>January</v>
      </c>
    </row>
    <row r="102" spans="1:22" x14ac:dyDescent="0.3">
      <c r="A102" s="1" t="s">
        <v>147</v>
      </c>
      <c r="B102" s="1" t="s">
        <v>46</v>
      </c>
      <c r="C102" s="1" t="s">
        <v>22</v>
      </c>
      <c r="D102" s="1" t="s">
        <v>23</v>
      </c>
      <c r="E102" s="1" t="s">
        <v>30</v>
      </c>
      <c r="F102" s="1" t="s">
        <v>25</v>
      </c>
      <c r="G102" s="2">
        <v>45769</v>
      </c>
      <c r="H102">
        <v>25516</v>
      </c>
      <c r="I102">
        <v>5216</v>
      </c>
      <c r="J102">
        <v>489</v>
      </c>
      <c r="K102">
        <v>4897</v>
      </c>
      <c r="L102">
        <v>434</v>
      </c>
      <c r="M102">
        <v>437</v>
      </c>
      <c r="N102">
        <v>47568</v>
      </c>
      <c r="O102">
        <v>3250.39</v>
      </c>
      <c r="P102">
        <v>9483.3799999999992</v>
      </c>
      <c r="Q102">
        <v>20.440000000000001</v>
      </c>
      <c r="R102">
        <v>9.3800000000000008</v>
      </c>
      <c r="S102">
        <v>191.76</v>
      </c>
      <c r="T102">
        <v>12.13</v>
      </c>
      <c r="U102">
        <f>Social_Media_Campaign_Data[[#This Row],[Likes]]+Social_Media_Campaign_Data[[#This Row],[Comments]]+Social_Media_Campaign_Data[[#This Row],[Shares]]</f>
        <v>5768</v>
      </c>
      <c r="V102" t="str">
        <f>TEXT(Social_Media_Campaign_Data[[#This Row],[Date]],"mmmm")</f>
        <v>April</v>
      </c>
    </row>
    <row r="103" spans="1:22" x14ac:dyDescent="0.3">
      <c r="A103" s="1" t="s">
        <v>148</v>
      </c>
      <c r="B103" s="1" t="s">
        <v>27</v>
      </c>
      <c r="C103" s="1" t="s">
        <v>36</v>
      </c>
      <c r="D103" s="1" t="s">
        <v>40</v>
      </c>
      <c r="E103" s="1" t="s">
        <v>24</v>
      </c>
      <c r="F103" s="1" t="s">
        <v>25</v>
      </c>
      <c r="G103" s="2">
        <v>45793</v>
      </c>
      <c r="H103">
        <v>11937</v>
      </c>
      <c r="I103">
        <v>2493</v>
      </c>
      <c r="J103">
        <v>496</v>
      </c>
      <c r="K103">
        <v>3480</v>
      </c>
      <c r="L103">
        <v>556</v>
      </c>
      <c r="M103">
        <v>90</v>
      </c>
      <c r="N103">
        <v>49500</v>
      </c>
      <c r="O103">
        <v>4259.78</v>
      </c>
      <c r="P103">
        <v>11015.62</v>
      </c>
      <c r="Q103">
        <v>20.88</v>
      </c>
      <c r="R103">
        <v>19.899999999999999</v>
      </c>
      <c r="S103">
        <v>158.6</v>
      </c>
      <c r="T103">
        <v>8.34</v>
      </c>
      <c r="U103">
        <f>Social_Media_Campaign_Data[[#This Row],[Likes]]+Social_Media_Campaign_Data[[#This Row],[Comments]]+Social_Media_Campaign_Data[[#This Row],[Shares]]</f>
        <v>4126</v>
      </c>
      <c r="V103" t="str">
        <f>TEXT(Social_Media_Campaign_Data[[#This Row],[Date]],"mmmm")</f>
        <v>May</v>
      </c>
    </row>
    <row r="104" spans="1:22" x14ac:dyDescent="0.3">
      <c r="A104" s="1" t="s">
        <v>149</v>
      </c>
      <c r="B104" s="1" t="s">
        <v>46</v>
      </c>
      <c r="C104" s="1" t="s">
        <v>22</v>
      </c>
      <c r="D104" s="1" t="s">
        <v>40</v>
      </c>
      <c r="E104" s="1" t="s">
        <v>24</v>
      </c>
      <c r="F104" s="1" t="s">
        <v>42</v>
      </c>
      <c r="G104" s="2">
        <v>45818</v>
      </c>
      <c r="H104">
        <v>38420</v>
      </c>
      <c r="I104">
        <v>2088</v>
      </c>
      <c r="J104">
        <v>977</v>
      </c>
      <c r="K104">
        <v>3062</v>
      </c>
      <c r="L104">
        <v>379</v>
      </c>
      <c r="M104">
        <v>161</v>
      </c>
      <c r="N104">
        <v>30856</v>
      </c>
      <c r="O104">
        <v>2744.55</v>
      </c>
      <c r="P104">
        <v>5523.56</v>
      </c>
      <c r="Q104">
        <v>5.43</v>
      </c>
      <c r="R104">
        <v>46.79</v>
      </c>
      <c r="S104">
        <v>101.26</v>
      </c>
      <c r="T104">
        <v>11.67</v>
      </c>
      <c r="U104">
        <f>Social_Media_Campaign_Data[[#This Row],[Likes]]+Social_Media_Campaign_Data[[#This Row],[Comments]]+Social_Media_Campaign_Data[[#This Row],[Shares]]</f>
        <v>3602</v>
      </c>
      <c r="V104" t="str">
        <f>TEXT(Social_Media_Campaign_Data[[#This Row],[Date]],"mmmm")</f>
        <v>June</v>
      </c>
    </row>
    <row r="105" spans="1:22" x14ac:dyDescent="0.3">
      <c r="A105" s="1" t="s">
        <v>150</v>
      </c>
      <c r="B105" s="1" t="s">
        <v>32</v>
      </c>
      <c r="C105" s="1" t="s">
        <v>36</v>
      </c>
      <c r="D105" s="1" t="s">
        <v>40</v>
      </c>
      <c r="E105" s="1" t="s">
        <v>50</v>
      </c>
      <c r="F105" s="1" t="s">
        <v>25</v>
      </c>
      <c r="G105" s="2">
        <v>45778</v>
      </c>
      <c r="H105">
        <v>37382</v>
      </c>
      <c r="I105">
        <v>4300</v>
      </c>
      <c r="J105">
        <v>822</v>
      </c>
      <c r="K105">
        <v>4818</v>
      </c>
      <c r="L105">
        <v>798</v>
      </c>
      <c r="M105">
        <v>469</v>
      </c>
      <c r="N105">
        <v>89278</v>
      </c>
      <c r="O105">
        <v>6970.77</v>
      </c>
      <c r="P105">
        <v>31976.1</v>
      </c>
      <c r="Q105">
        <v>11.5</v>
      </c>
      <c r="R105">
        <v>19.12</v>
      </c>
      <c r="S105">
        <v>358.72</v>
      </c>
      <c r="T105">
        <v>6.82</v>
      </c>
      <c r="U105">
        <f>Social_Media_Campaign_Data[[#This Row],[Likes]]+Social_Media_Campaign_Data[[#This Row],[Comments]]+Social_Media_Campaign_Data[[#This Row],[Shares]]</f>
        <v>6085</v>
      </c>
      <c r="V105" t="str">
        <f>TEXT(Social_Media_Campaign_Data[[#This Row],[Date]],"mmmm")</f>
        <v>May</v>
      </c>
    </row>
    <row r="106" spans="1:22" x14ac:dyDescent="0.3">
      <c r="A106" s="1" t="s">
        <v>151</v>
      </c>
      <c r="B106" s="1" t="s">
        <v>56</v>
      </c>
      <c r="C106" s="1" t="s">
        <v>58</v>
      </c>
      <c r="D106" s="1" t="s">
        <v>37</v>
      </c>
      <c r="E106" s="1" t="s">
        <v>30</v>
      </c>
      <c r="F106" s="1" t="s">
        <v>47</v>
      </c>
      <c r="G106" s="2">
        <v>45677</v>
      </c>
      <c r="H106">
        <v>33980</v>
      </c>
      <c r="I106">
        <v>5672</v>
      </c>
      <c r="J106">
        <v>360</v>
      </c>
      <c r="K106">
        <v>2450</v>
      </c>
      <c r="L106">
        <v>625</v>
      </c>
      <c r="M106">
        <v>67</v>
      </c>
      <c r="N106">
        <v>65521</v>
      </c>
      <c r="O106">
        <v>3843.45</v>
      </c>
      <c r="P106">
        <v>6763.19</v>
      </c>
      <c r="Q106">
        <v>16.690000000000001</v>
      </c>
      <c r="R106">
        <v>6.35</v>
      </c>
      <c r="S106">
        <v>75.97</v>
      </c>
      <c r="T106">
        <v>4.8</v>
      </c>
      <c r="U106">
        <f>Social_Media_Campaign_Data[[#This Row],[Likes]]+Social_Media_Campaign_Data[[#This Row],[Comments]]+Social_Media_Campaign_Data[[#This Row],[Shares]]</f>
        <v>3142</v>
      </c>
      <c r="V106" t="str">
        <f>TEXT(Social_Media_Campaign_Data[[#This Row],[Date]],"mmmm")</f>
        <v>January</v>
      </c>
    </row>
    <row r="107" spans="1:22" x14ac:dyDescent="0.3">
      <c r="A107" s="1" t="s">
        <v>152</v>
      </c>
      <c r="B107" s="1" t="s">
        <v>56</v>
      </c>
      <c r="C107" s="1" t="s">
        <v>22</v>
      </c>
      <c r="D107" s="1" t="s">
        <v>40</v>
      </c>
      <c r="E107" s="1" t="s">
        <v>30</v>
      </c>
      <c r="F107" s="1" t="s">
        <v>34</v>
      </c>
      <c r="G107" s="2">
        <v>45786</v>
      </c>
      <c r="H107">
        <v>47248</v>
      </c>
      <c r="I107">
        <v>1239</v>
      </c>
      <c r="J107">
        <v>679</v>
      </c>
      <c r="K107">
        <v>4353</v>
      </c>
      <c r="L107">
        <v>413</v>
      </c>
      <c r="M107">
        <v>483</v>
      </c>
      <c r="N107">
        <v>10376</v>
      </c>
      <c r="O107">
        <v>6013.13</v>
      </c>
      <c r="P107">
        <v>29102.41</v>
      </c>
      <c r="Q107">
        <v>2.62</v>
      </c>
      <c r="R107">
        <v>54.8</v>
      </c>
      <c r="S107">
        <v>383.98</v>
      </c>
      <c r="T107">
        <v>50.59</v>
      </c>
      <c r="U107">
        <f>Social_Media_Campaign_Data[[#This Row],[Likes]]+Social_Media_Campaign_Data[[#This Row],[Comments]]+Social_Media_Campaign_Data[[#This Row],[Shares]]</f>
        <v>5249</v>
      </c>
      <c r="V107" t="str">
        <f>TEXT(Social_Media_Campaign_Data[[#This Row],[Date]],"mmmm")</f>
        <v>May</v>
      </c>
    </row>
    <row r="108" spans="1:22" x14ac:dyDescent="0.3">
      <c r="A108" s="1" t="s">
        <v>153</v>
      </c>
      <c r="B108" s="1" t="s">
        <v>56</v>
      </c>
      <c r="C108" s="1" t="s">
        <v>28</v>
      </c>
      <c r="D108" s="1" t="s">
        <v>29</v>
      </c>
      <c r="E108" s="1" t="s">
        <v>41</v>
      </c>
      <c r="F108" s="1" t="s">
        <v>42</v>
      </c>
      <c r="G108" s="2">
        <v>45751</v>
      </c>
      <c r="H108">
        <v>14886</v>
      </c>
      <c r="I108">
        <v>1006</v>
      </c>
      <c r="J108">
        <v>511</v>
      </c>
      <c r="K108">
        <v>1047</v>
      </c>
      <c r="L108">
        <v>371</v>
      </c>
      <c r="M108">
        <v>96</v>
      </c>
      <c r="N108">
        <v>37472</v>
      </c>
      <c r="O108">
        <v>5293.22</v>
      </c>
      <c r="P108">
        <v>11136.7</v>
      </c>
      <c r="Q108">
        <v>6.76</v>
      </c>
      <c r="R108">
        <v>50.8</v>
      </c>
      <c r="S108">
        <v>110.4</v>
      </c>
      <c r="T108">
        <v>4.04</v>
      </c>
      <c r="U108">
        <f>Social_Media_Campaign_Data[[#This Row],[Likes]]+Social_Media_Campaign_Data[[#This Row],[Comments]]+Social_Media_Campaign_Data[[#This Row],[Shares]]</f>
        <v>1514</v>
      </c>
      <c r="V108" t="str">
        <f>TEXT(Social_Media_Campaign_Data[[#This Row],[Date]],"mmmm")</f>
        <v>April</v>
      </c>
    </row>
    <row r="109" spans="1:22" x14ac:dyDescent="0.3">
      <c r="A109" s="1" t="s">
        <v>154</v>
      </c>
      <c r="B109" s="1" t="s">
        <v>32</v>
      </c>
      <c r="C109" s="1" t="s">
        <v>58</v>
      </c>
      <c r="D109" s="1" t="s">
        <v>29</v>
      </c>
      <c r="E109" s="1" t="s">
        <v>50</v>
      </c>
      <c r="F109" s="1" t="s">
        <v>47</v>
      </c>
      <c r="G109" s="2">
        <v>45722</v>
      </c>
      <c r="H109">
        <v>29435</v>
      </c>
      <c r="I109">
        <v>2817</v>
      </c>
      <c r="J109">
        <v>446</v>
      </c>
      <c r="K109">
        <v>3548</v>
      </c>
      <c r="L109">
        <v>366</v>
      </c>
      <c r="M109">
        <v>63</v>
      </c>
      <c r="N109">
        <v>13639</v>
      </c>
      <c r="O109">
        <v>7997.66</v>
      </c>
      <c r="P109">
        <v>30115.74</v>
      </c>
      <c r="Q109">
        <v>9.57</v>
      </c>
      <c r="R109">
        <v>15.83</v>
      </c>
      <c r="S109">
        <v>276.56</v>
      </c>
      <c r="T109">
        <v>29.16</v>
      </c>
      <c r="U109">
        <f>Social_Media_Campaign_Data[[#This Row],[Likes]]+Social_Media_Campaign_Data[[#This Row],[Comments]]+Social_Media_Campaign_Data[[#This Row],[Shares]]</f>
        <v>3977</v>
      </c>
      <c r="V109" t="str">
        <f>TEXT(Social_Media_Campaign_Data[[#This Row],[Date]],"mmmm")</f>
        <v>March</v>
      </c>
    </row>
    <row r="110" spans="1:22" x14ac:dyDescent="0.3">
      <c r="A110" s="1" t="s">
        <v>155</v>
      </c>
      <c r="B110" s="1" t="s">
        <v>69</v>
      </c>
      <c r="C110" s="1" t="s">
        <v>28</v>
      </c>
      <c r="D110" s="1" t="s">
        <v>40</v>
      </c>
      <c r="E110" s="1" t="s">
        <v>41</v>
      </c>
      <c r="F110" s="1" t="s">
        <v>25</v>
      </c>
      <c r="G110" s="2">
        <v>45737</v>
      </c>
      <c r="H110">
        <v>48028</v>
      </c>
      <c r="I110">
        <v>5437</v>
      </c>
      <c r="J110">
        <v>944</v>
      </c>
      <c r="K110">
        <v>1431</v>
      </c>
      <c r="L110">
        <v>361</v>
      </c>
      <c r="M110">
        <v>93</v>
      </c>
      <c r="N110">
        <v>50851</v>
      </c>
      <c r="O110">
        <v>6036.03</v>
      </c>
      <c r="P110">
        <v>12041.88</v>
      </c>
      <c r="Q110">
        <v>11.32</v>
      </c>
      <c r="R110">
        <v>17.36</v>
      </c>
      <c r="S110">
        <v>99.5</v>
      </c>
      <c r="T110">
        <v>3.71</v>
      </c>
      <c r="U110">
        <f>Social_Media_Campaign_Data[[#This Row],[Likes]]+Social_Media_Campaign_Data[[#This Row],[Comments]]+Social_Media_Campaign_Data[[#This Row],[Shares]]</f>
        <v>1885</v>
      </c>
      <c r="V110" t="str">
        <f>TEXT(Social_Media_Campaign_Data[[#This Row],[Date]],"mmmm")</f>
        <v>March</v>
      </c>
    </row>
    <row r="111" spans="1:22" x14ac:dyDescent="0.3">
      <c r="A111" s="1" t="s">
        <v>156</v>
      </c>
      <c r="B111" s="1" t="s">
        <v>32</v>
      </c>
      <c r="C111" s="1" t="s">
        <v>58</v>
      </c>
      <c r="D111" s="1" t="s">
        <v>33</v>
      </c>
      <c r="E111" s="1" t="s">
        <v>30</v>
      </c>
      <c r="F111" s="1" t="s">
        <v>42</v>
      </c>
      <c r="G111" s="2">
        <v>45712</v>
      </c>
      <c r="H111">
        <v>41629</v>
      </c>
      <c r="I111">
        <v>3585</v>
      </c>
      <c r="J111">
        <v>708</v>
      </c>
      <c r="K111">
        <v>2890</v>
      </c>
      <c r="L111">
        <v>150</v>
      </c>
      <c r="M111">
        <v>549</v>
      </c>
      <c r="N111">
        <v>71648</v>
      </c>
      <c r="O111">
        <v>1387.8</v>
      </c>
      <c r="P111">
        <v>5338.31</v>
      </c>
      <c r="Q111">
        <v>8.61</v>
      </c>
      <c r="R111">
        <v>19.75</v>
      </c>
      <c r="S111">
        <v>284.66000000000003</v>
      </c>
      <c r="T111">
        <v>5.01</v>
      </c>
      <c r="U111">
        <f>Social_Media_Campaign_Data[[#This Row],[Likes]]+Social_Media_Campaign_Data[[#This Row],[Comments]]+Social_Media_Campaign_Data[[#This Row],[Shares]]</f>
        <v>3589</v>
      </c>
      <c r="V111" t="str">
        <f>TEXT(Social_Media_Campaign_Data[[#This Row],[Date]],"mmmm")</f>
        <v>February</v>
      </c>
    </row>
    <row r="112" spans="1:22" x14ac:dyDescent="0.3">
      <c r="A112" s="1" t="s">
        <v>157</v>
      </c>
      <c r="B112" s="1" t="s">
        <v>44</v>
      </c>
      <c r="C112" s="1" t="s">
        <v>36</v>
      </c>
      <c r="D112" s="1" t="s">
        <v>29</v>
      </c>
      <c r="E112" s="1" t="s">
        <v>38</v>
      </c>
      <c r="F112" s="1" t="s">
        <v>34</v>
      </c>
      <c r="G112" s="2">
        <v>45697</v>
      </c>
      <c r="H112">
        <v>27395</v>
      </c>
      <c r="I112">
        <v>6776</v>
      </c>
      <c r="J112">
        <v>547</v>
      </c>
      <c r="K112">
        <v>1772</v>
      </c>
      <c r="L112">
        <v>251</v>
      </c>
      <c r="M112">
        <v>150</v>
      </c>
      <c r="N112">
        <v>18256</v>
      </c>
      <c r="O112">
        <v>1971.98</v>
      </c>
      <c r="P112">
        <v>4999.51</v>
      </c>
      <c r="Q112">
        <v>24.73</v>
      </c>
      <c r="R112">
        <v>8.07</v>
      </c>
      <c r="S112">
        <v>153.53</v>
      </c>
      <c r="T112">
        <v>11.9</v>
      </c>
      <c r="U112">
        <f>Social_Media_Campaign_Data[[#This Row],[Likes]]+Social_Media_Campaign_Data[[#This Row],[Comments]]+Social_Media_Campaign_Data[[#This Row],[Shares]]</f>
        <v>2173</v>
      </c>
      <c r="V112" t="str">
        <f>TEXT(Social_Media_Campaign_Data[[#This Row],[Date]],"mmmm")</f>
        <v>February</v>
      </c>
    </row>
    <row r="113" spans="1:22" x14ac:dyDescent="0.3">
      <c r="A113" s="1" t="s">
        <v>158</v>
      </c>
      <c r="B113" s="1" t="s">
        <v>27</v>
      </c>
      <c r="C113" s="1" t="s">
        <v>28</v>
      </c>
      <c r="D113" s="1" t="s">
        <v>29</v>
      </c>
      <c r="E113" s="1" t="s">
        <v>30</v>
      </c>
      <c r="F113" s="1" t="s">
        <v>34</v>
      </c>
      <c r="G113" s="2">
        <v>45717</v>
      </c>
      <c r="H113">
        <v>15633</v>
      </c>
      <c r="I113">
        <v>1981</v>
      </c>
      <c r="J113">
        <v>901</v>
      </c>
      <c r="K113">
        <v>1556</v>
      </c>
      <c r="L113">
        <v>758</v>
      </c>
      <c r="M113">
        <v>458</v>
      </c>
      <c r="N113">
        <v>99317</v>
      </c>
      <c r="O113">
        <v>915.08</v>
      </c>
      <c r="P113">
        <v>2539.39</v>
      </c>
      <c r="Q113">
        <v>12.67</v>
      </c>
      <c r="R113">
        <v>45.48</v>
      </c>
      <c r="S113">
        <v>177.5</v>
      </c>
      <c r="T113">
        <v>2.79</v>
      </c>
      <c r="U113">
        <f>Social_Media_Campaign_Data[[#This Row],[Likes]]+Social_Media_Campaign_Data[[#This Row],[Comments]]+Social_Media_Campaign_Data[[#This Row],[Shares]]</f>
        <v>2772</v>
      </c>
      <c r="V113" t="str">
        <f>TEXT(Social_Media_Campaign_Data[[#This Row],[Date]],"mmmm")</f>
        <v>March</v>
      </c>
    </row>
    <row r="114" spans="1:22" x14ac:dyDescent="0.3">
      <c r="A114" s="1" t="s">
        <v>159</v>
      </c>
      <c r="B114" s="1" t="s">
        <v>56</v>
      </c>
      <c r="C114" s="1" t="s">
        <v>36</v>
      </c>
      <c r="D114" s="1" t="s">
        <v>23</v>
      </c>
      <c r="E114" s="1" t="s">
        <v>41</v>
      </c>
      <c r="F114" s="1" t="s">
        <v>34</v>
      </c>
      <c r="G114" s="2">
        <v>45699</v>
      </c>
      <c r="H114">
        <v>39996</v>
      </c>
      <c r="I114">
        <v>2459</v>
      </c>
      <c r="J114">
        <v>366</v>
      </c>
      <c r="K114">
        <v>4042</v>
      </c>
      <c r="L114">
        <v>218</v>
      </c>
      <c r="M114">
        <v>386</v>
      </c>
      <c r="N114">
        <v>62749</v>
      </c>
      <c r="O114">
        <v>6943.91</v>
      </c>
      <c r="P114">
        <v>24279.16</v>
      </c>
      <c r="Q114">
        <v>6.15</v>
      </c>
      <c r="R114">
        <v>14.88</v>
      </c>
      <c r="S114">
        <v>249.65</v>
      </c>
      <c r="T114">
        <v>7.4</v>
      </c>
      <c r="U114">
        <f>Social_Media_Campaign_Data[[#This Row],[Likes]]+Social_Media_Campaign_Data[[#This Row],[Comments]]+Social_Media_Campaign_Data[[#This Row],[Shares]]</f>
        <v>4646</v>
      </c>
      <c r="V114" t="str">
        <f>TEXT(Social_Media_Campaign_Data[[#This Row],[Date]],"mmmm")</f>
        <v>February</v>
      </c>
    </row>
    <row r="115" spans="1:22" x14ac:dyDescent="0.3">
      <c r="A115" s="1" t="s">
        <v>160</v>
      </c>
      <c r="B115" s="1" t="s">
        <v>21</v>
      </c>
      <c r="C115" s="1" t="s">
        <v>36</v>
      </c>
      <c r="D115" s="1" t="s">
        <v>37</v>
      </c>
      <c r="E115" s="1" t="s">
        <v>38</v>
      </c>
      <c r="F115" s="1" t="s">
        <v>47</v>
      </c>
      <c r="G115" s="2">
        <v>45773</v>
      </c>
      <c r="H115">
        <v>18087</v>
      </c>
      <c r="I115">
        <v>5453</v>
      </c>
      <c r="J115">
        <v>191</v>
      </c>
      <c r="K115">
        <v>2248</v>
      </c>
      <c r="L115">
        <v>73</v>
      </c>
      <c r="M115">
        <v>502</v>
      </c>
      <c r="N115">
        <v>18446</v>
      </c>
      <c r="O115">
        <v>8804.11</v>
      </c>
      <c r="P115">
        <v>30294</v>
      </c>
      <c r="Q115">
        <v>30.15</v>
      </c>
      <c r="R115">
        <v>3.5</v>
      </c>
      <c r="S115">
        <v>244.09</v>
      </c>
      <c r="T115">
        <v>15.3</v>
      </c>
      <c r="U115">
        <f>Social_Media_Campaign_Data[[#This Row],[Likes]]+Social_Media_Campaign_Data[[#This Row],[Comments]]+Social_Media_Campaign_Data[[#This Row],[Shares]]</f>
        <v>2823</v>
      </c>
      <c r="V115" t="str">
        <f>TEXT(Social_Media_Campaign_Data[[#This Row],[Date]],"mmmm")</f>
        <v>April</v>
      </c>
    </row>
    <row r="116" spans="1:22" x14ac:dyDescent="0.3">
      <c r="A116" s="1" t="s">
        <v>161</v>
      </c>
      <c r="B116" s="1" t="s">
        <v>63</v>
      </c>
      <c r="C116" s="1" t="s">
        <v>58</v>
      </c>
      <c r="D116" s="1" t="s">
        <v>23</v>
      </c>
      <c r="E116" s="1" t="s">
        <v>41</v>
      </c>
      <c r="F116" s="1" t="s">
        <v>47</v>
      </c>
      <c r="G116" s="2">
        <v>45718</v>
      </c>
      <c r="H116">
        <v>38643</v>
      </c>
      <c r="I116">
        <v>1707</v>
      </c>
      <c r="J116">
        <v>900</v>
      </c>
      <c r="K116">
        <v>3783</v>
      </c>
      <c r="L116">
        <v>113</v>
      </c>
      <c r="M116">
        <v>237</v>
      </c>
      <c r="N116">
        <v>8495</v>
      </c>
      <c r="O116">
        <v>8258.68</v>
      </c>
      <c r="P116">
        <v>37958.58</v>
      </c>
      <c r="Q116">
        <v>4.42</v>
      </c>
      <c r="R116">
        <v>52.72</v>
      </c>
      <c r="S116">
        <v>359.62</v>
      </c>
      <c r="T116">
        <v>48.65</v>
      </c>
      <c r="U116">
        <f>Social_Media_Campaign_Data[[#This Row],[Likes]]+Social_Media_Campaign_Data[[#This Row],[Comments]]+Social_Media_Campaign_Data[[#This Row],[Shares]]</f>
        <v>4133</v>
      </c>
      <c r="V116" t="str">
        <f>TEXT(Social_Media_Campaign_Data[[#This Row],[Date]],"mmmm")</f>
        <v>March</v>
      </c>
    </row>
    <row r="117" spans="1:22" x14ac:dyDescent="0.3">
      <c r="A117" s="1" t="s">
        <v>162</v>
      </c>
      <c r="B117" s="1" t="s">
        <v>32</v>
      </c>
      <c r="C117" s="1" t="s">
        <v>49</v>
      </c>
      <c r="D117" s="1" t="s">
        <v>40</v>
      </c>
      <c r="E117" s="1" t="s">
        <v>24</v>
      </c>
      <c r="F117" s="1" t="s">
        <v>47</v>
      </c>
      <c r="G117" s="2">
        <v>45778</v>
      </c>
      <c r="H117">
        <v>30307</v>
      </c>
      <c r="I117">
        <v>1168</v>
      </c>
      <c r="J117">
        <v>433</v>
      </c>
      <c r="K117">
        <v>2039</v>
      </c>
      <c r="L117">
        <v>48</v>
      </c>
      <c r="M117">
        <v>336</v>
      </c>
      <c r="N117">
        <v>90191</v>
      </c>
      <c r="O117">
        <v>9342.85</v>
      </c>
      <c r="P117">
        <v>41455.32</v>
      </c>
      <c r="Q117">
        <v>3.85</v>
      </c>
      <c r="R117">
        <v>37.07</v>
      </c>
      <c r="S117">
        <v>343.71</v>
      </c>
      <c r="T117">
        <v>2.69</v>
      </c>
      <c r="U117">
        <f>Social_Media_Campaign_Data[[#This Row],[Likes]]+Social_Media_Campaign_Data[[#This Row],[Comments]]+Social_Media_Campaign_Data[[#This Row],[Shares]]</f>
        <v>2423</v>
      </c>
      <c r="V117" t="str">
        <f>TEXT(Social_Media_Campaign_Data[[#This Row],[Date]],"mmmm")</f>
        <v>May</v>
      </c>
    </row>
    <row r="118" spans="1:22" x14ac:dyDescent="0.3">
      <c r="A118" s="1" t="s">
        <v>163</v>
      </c>
      <c r="B118" s="1" t="s">
        <v>46</v>
      </c>
      <c r="C118" s="1" t="s">
        <v>22</v>
      </c>
      <c r="D118" s="1" t="s">
        <v>29</v>
      </c>
      <c r="E118" s="1" t="s">
        <v>41</v>
      </c>
      <c r="F118" s="1" t="s">
        <v>34</v>
      </c>
      <c r="G118" s="2">
        <v>45686</v>
      </c>
      <c r="H118">
        <v>14095</v>
      </c>
      <c r="I118">
        <v>6716</v>
      </c>
      <c r="J118">
        <v>772</v>
      </c>
      <c r="K118">
        <v>4042</v>
      </c>
      <c r="L118">
        <v>479</v>
      </c>
      <c r="M118">
        <v>15</v>
      </c>
      <c r="N118">
        <v>33266</v>
      </c>
      <c r="O118">
        <v>9105.65</v>
      </c>
      <c r="P118">
        <v>14264.12</v>
      </c>
      <c r="Q118">
        <v>47.65</v>
      </c>
      <c r="R118">
        <v>11.49</v>
      </c>
      <c r="S118">
        <v>56.65</v>
      </c>
      <c r="T118">
        <v>13.64</v>
      </c>
      <c r="U118">
        <f>Social_Media_Campaign_Data[[#This Row],[Likes]]+Social_Media_Campaign_Data[[#This Row],[Comments]]+Social_Media_Campaign_Data[[#This Row],[Shares]]</f>
        <v>4536</v>
      </c>
      <c r="V118" t="str">
        <f>TEXT(Social_Media_Campaign_Data[[#This Row],[Date]],"mmmm")</f>
        <v>January</v>
      </c>
    </row>
    <row r="119" spans="1:22" x14ac:dyDescent="0.3">
      <c r="A119" s="1" t="s">
        <v>164</v>
      </c>
      <c r="B119" s="1" t="s">
        <v>21</v>
      </c>
      <c r="C119" s="1" t="s">
        <v>58</v>
      </c>
      <c r="D119" s="1" t="s">
        <v>23</v>
      </c>
      <c r="E119" s="1" t="s">
        <v>41</v>
      </c>
      <c r="F119" s="1" t="s">
        <v>25</v>
      </c>
      <c r="G119" s="2">
        <v>45819</v>
      </c>
      <c r="H119">
        <v>23881</v>
      </c>
      <c r="I119">
        <v>2446</v>
      </c>
      <c r="J119">
        <v>358</v>
      </c>
      <c r="K119">
        <v>1198</v>
      </c>
      <c r="L119">
        <v>68</v>
      </c>
      <c r="M119">
        <v>254</v>
      </c>
      <c r="N119">
        <v>64914</v>
      </c>
      <c r="O119">
        <v>4488.34</v>
      </c>
      <c r="P119">
        <v>19204.02</v>
      </c>
      <c r="Q119">
        <v>10.24</v>
      </c>
      <c r="R119">
        <v>14.64</v>
      </c>
      <c r="S119">
        <v>327.86</v>
      </c>
      <c r="T119">
        <v>2.34</v>
      </c>
      <c r="U119">
        <f>Social_Media_Campaign_Data[[#This Row],[Likes]]+Social_Media_Campaign_Data[[#This Row],[Comments]]+Social_Media_Campaign_Data[[#This Row],[Shares]]</f>
        <v>1520</v>
      </c>
      <c r="V119" t="str">
        <f>TEXT(Social_Media_Campaign_Data[[#This Row],[Date]],"mmmm")</f>
        <v>June</v>
      </c>
    </row>
    <row r="120" spans="1:22" x14ac:dyDescent="0.3">
      <c r="A120" s="1" t="s">
        <v>165</v>
      </c>
      <c r="B120" s="1" t="s">
        <v>63</v>
      </c>
      <c r="C120" s="1" t="s">
        <v>49</v>
      </c>
      <c r="D120" s="1" t="s">
        <v>37</v>
      </c>
      <c r="E120" s="1" t="s">
        <v>41</v>
      </c>
      <c r="F120" s="1" t="s">
        <v>47</v>
      </c>
      <c r="G120" s="2">
        <v>45675</v>
      </c>
      <c r="H120">
        <v>38775</v>
      </c>
      <c r="I120">
        <v>5210</v>
      </c>
      <c r="J120">
        <v>297</v>
      </c>
      <c r="K120">
        <v>1376</v>
      </c>
      <c r="L120">
        <v>318</v>
      </c>
      <c r="M120">
        <v>449</v>
      </c>
      <c r="N120">
        <v>79798</v>
      </c>
      <c r="O120">
        <v>514.86</v>
      </c>
      <c r="P120">
        <v>1408.07</v>
      </c>
      <c r="Q120">
        <v>13.44</v>
      </c>
      <c r="R120">
        <v>5.7</v>
      </c>
      <c r="S120">
        <v>173.49</v>
      </c>
      <c r="T120">
        <v>2.69</v>
      </c>
      <c r="U120">
        <f>Social_Media_Campaign_Data[[#This Row],[Likes]]+Social_Media_Campaign_Data[[#This Row],[Comments]]+Social_Media_Campaign_Data[[#This Row],[Shares]]</f>
        <v>2143</v>
      </c>
      <c r="V120" t="str">
        <f>TEXT(Social_Media_Campaign_Data[[#This Row],[Date]],"mmmm")</f>
        <v>January</v>
      </c>
    </row>
    <row r="121" spans="1:22" x14ac:dyDescent="0.3">
      <c r="A121" s="1" t="s">
        <v>166</v>
      </c>
      <c r="B121" s="1" t="s">
        <v>63</v>
      </c>
      <c r="C121" s="1" t="s">
        <v>36</v>
      </c>
      <c r="D121" s="1" t="s">
        <v>33</v>
      </c>
      <c r="E121" s="1" t="s">
        <v>24</v>
      </c>
      <c r="F121" s="1" t="s">
        <v>47</v>
      </c>
      <c r="G121" s="2">
        <v>45675</v>
      </c>
      <c r="H121">
        <v>39475</v>
      </c>
      <c r="I121">
        <v>4957</v>
      </c>
      <c r="J121">
        <v>569</v>
      </c>
      <c r="K121">
        <v>4358</v>
      </c>
      <c r="L121">
        <v>587</v>
      </c>
      <c r="M121">
        <v>30</v>
      </c>
      <c r="N121">
        <v>88318</v>
      </c>
      <c r="O121">
        <v>4209.3100000000004</v>
      </c>
      <c r="P121">
        <v>13240.27</v>
      </c>
      <c r="Q121">
        <v>12.56</v>
      </c>
      <c r="R121">
        <v>11.48</v>
      </c>
      <c r="S121">
        <v>214.55</v>
      </c>
      <c r="T121">
        <v>5.63</v>
      </c>
      <c r="U121">
        <f>Social_Media_Campaign_Data[[#This Row],[Likes]]+Social_Media_Campaign_Data[[#This Row],[Comments]]+Social_Media_Campaign_Data[[#This Row],[Shares]]</f>
        <v>4975</v>
      </c>
      <c r="V121" t="str">
        <f>TEXT(Social_Media_Campaign_Data[[#This Row],[Date]],"mmmm")</f>
        <v>January</v>
      </c>
    </row>
    <row r="122" spans="1:22" x14ac:dyDescent="0.3">
      <c r="A122" s="1" t="s">
        <v>167</v>
      </c>
      <c r="B122" s="1" t="s">
        <v>46</v>
      </c>
      <c r="C122" s="1" t="s">
        <v>28</v>
      </c>
      <c r="D122" s="1" t="s">
        <v>23</v>
      </c>
      <c r="E122" s="1" t="s">
        <v>38</v>
      </c>
      <c r="F122" s="1" t="s">
        <v>42</v>
      </c>
      <c r="G122" s="2">
        <v>45674</v>
      </c>
      <c r="H122">
        <v>27596</v>
      </c>
      <c r="I122">
        <v>2475</v>
      </c>
      <c r="J122">
        <v>800</v>
      </c>
      <c r="K122">
        <v>1049</v>
      </c>
      <c r="L122">
        <v>615</v>
      </c>
      <c r="M122">
        <v>350</v>
      </c>
      <c r="N122">
        <v>49374</v>
      </c>
      <c r="O122">
        <v>1767.39</v>
      </c>
      <c r="P122">
        <v>4830.3599999999997</v>
      </c>
      <c r="Q122">
        <v>8.9700000000000006</v>
      </c>
      <c r="R122">
        <v>32.32</v>
      </c>
      <c r="S122">
        <v>173.3</v>
      </c>
      <c r="T122">
        <v>4.08</v>
      </c>
      <c r="U122">
        <f>Social_Media_Campaign_Data[[#This Row],[Likes]]+Social_Media_Campaign_Data[[#This Row],[Comments]]+Social_Media_Campaign_Data[[#This Row],[Shares]]</f>
        <v>2014</v>
      </c>
      <c r="V122" t="str">
        <f>TEXT(Social_Media_Campaign_Data[[#This Row],[Date]],"mmmm")</f>
        <v>January</v>
      </c>
    </row>
    <row r="123" spans="1:22" x14ac:dyDescent="0.3">
      <c r="A123" s="1" t="s">
        <v>168</v>
      </c>
      <c r="B123" s="1" t="s">
        <v>63</v>
      </c>
      <c r="C123" s="1" t="s">
        <v>22</v>
      </c>
      <c r="D123" s="1" t="s">
        <v>23</v>
      </c>
      <c r="E123" s="1" t="s">
        <v>30</v>
      </c>
      <c r="F123" s="1" t="s">
        <v>25</v>
      </c>
      <c r="G123" s="2">
        <v>45823</v>
      </c>
      <c r="H123">
        <v>34994</v>
      </c>
      <c r="I123">
        <v>802</v>
      </c>
      <c r="J123">
        <v>350</v>
      </c>
      <c r="K123">
        <v>1851</v>
      </c>
      <c r="L123">
        <v>64</v>
      </c>
      <c r="M123">
        <v>214</v>
      </c>
      <c r="N123">
        <v>45642</v>
      </c>
      <c r="O123">
        <v>8915.01</v>
      </c>
      <c r="P123">
        <v>23219.9</v>
      </c>
      <c r="Q123">
        <v>2.29</v>
      </c>
      <c r="R123">
        <v>43.64</v>
      </c>
      <c r="S123">
        <v>160.46</v>
      </c>
      <c r="T123">
        <v>4.66</v>
      </c>
      <c r="U123">
        <f>Social_Media_Campaign_Data[[#This Row],[Likes]]+Social_Media_Campaign_Data[[#This Row],[Comments]]+Social_Media_Campaign_Data[[#This Row],[Shares]]</f>
        <v>2129</v>
      </c>
      <c r="V123" t="str">
        <f>TEXT(Social_Media_Campaign_Data[[#This Row],[Date]],"mmmm")</f>
        <v>June</v>
      </c>
    </row>
    <row r="124" spans="1:22" x14ac:dyDescent="0.3">
      <c r="A124" s="1" t="s">
        <v>169</v>
      </c>
      <c r="B124" s="1" t="s">
        <v>63</v>
      </c>
      <c r="C124" s="1" t="s">
        <v>28</v>
      </c>
      <c r="D124" s="1" t="s">
        <v>23</v>
      </c>
      <c r="E124" s="1" t="s">
        <v>30</v>
      </c>
      <c r="F124" s="1" t="s">
        <v>42</v>
      </c>
      <c r="G124" s="2">
        <v>45785</v>
      </c>
      <c r="H124">
        <v>17524</v>
      </c>
      <c r="I124">
        <v>2843</v>
      </c>
      <c r="J124">
        <v>415</v>
      </c>
      <c r="K124">
        <v>591</v>
      </c>
      <c r="L124">
        <v>691</v>
      </c>
      <c r="M124">
        <v>349</v>
      </c>
      <c r="N124">
        <v>62272</v>
      </c>
      <c r="O124">
        <v>3095.56</v>
      </c>
      <c r="P124">
        <v>13303.78</v>
      </c>
      <c r="Q124">
        <v>16.22</v>
      </c>
      <c r="R124">
        <v>14.6</v>
      </c>
      <c r="S124">
        <v>329.77</v>
      </c>
      <c r="T124">
        <v>2.62</v>
      </c>
      <c r="U124">
        <f>Social_Media_Campaign_Data[[#This Row],[Likes]]+Social_Media_Campaign_Data[[#This Row],[Comments]]+Social_Media_Campaign_Data[[#This Row],[Shares]]</f>
        <v>1631</v>
      </c>
      <c r="V124" t="str">
        <f>TEXT(Social_Media_Campaign_Data[[#This Row],[Date]],"mmmm")</f>
        <v>May</v>
      </c>
    </row>
    <row r="125" spans="1:22" x14ac:dyDescent="0.3">
      <c r="A125" s="1" t="s">
        <v>170</v>
      </c>
      <c r="B125" s="1" t="s">
        <v>46</v>
      </c>
      <c r="C125" s="1" t="s">
        <v>22</v>
      </c>
      <c r="D125" s="1" t="s">
        <v>33</v>
      </c>
      <c r="E125" s="1" t="s">
        <v>30</v>
      </c>
      <c r="F125" s="1" t="s">
        <v>25</v>
      </c>
      <c r="G125" s="2">
        <v>45678</v>
      </c>
      <c r="H125">
        <v>37605</v>
      </c>
      <c r="I125">
        <v>3509</v>
      </c>
      <c r="J125">
        <v>996</v>
      </c>
      <c r="K125">
        <v>4453</v>
      </c>
      <c r="L125">
        <v>293</v>
      </c>
      <c r="M125">
        <v>94</v>
      </c>
      <c r="N125">
        <v>83964</v>
      </c>
      <c r="O125">
        <v>7407.27</v>
      </c>
      <c r="P125">
        <v>13157.12</v>
      </c>
      <c r="Q125">
        <v>9.33</v>
      </c>
      <c r="R125">
        <v>28.38</v>
      </c>
      <c r="S125">
        <v>77.62</v>
      </c>
      <c r="T125">
        <v>5.76</v>
      </c>
      <c r="U125">
        <f>Social_Media_Campaign_Data[[#This Row],[Likes]]+Social_Media_Campaign_Data[[#This Row],[Comments]]+Social_Media_Campaign_Data[[#This Row],[Shares]]</f>
        <v>4840</v>
      </c>
      <c r="V125" t="str">
        <f>TEXT(Social_Media_Campaign_Data[[#This Row],[Date]],"mmmm")</f>
        <v>January</v>
      </c>
    </row>
    <row r="126" spans="1:22" x14ac:dyDescent="0.3">
      <c r="A126" s="1" t="s">
        <v>171</v>
      </c>
      <c r="B126" s="1" t="s">
        <v>44</v>
      </c>
      <c r="C126" s="1" t="s">
        <v>36</v>
      </c>
      <c r="D126" s="1" t="s">
        <v>29</v>
      </c>
      <c r="E126" s="1" t="s">
        <v>50</v>
      </c>
      <c r="F126" s="1" t="s">
        <v>47</v>
      </c>
      <c r="G126" s="2">
        <v>45821</v>
      </c>
      <c r="H126">
        <v>26490</v>
      </c>
      <c r="I126">
        <v>5914</v>
      </c>
      <c r="J126">
        <v>352</v>
      </c>
      <c r="K126">
        <v>2710</v>
      </c>
      <c r="L126">
        <v>476</v>
      </c>
      <c r="M126">
        <v>446</v>
      </c>
      <c r="N126">
        <v>63606</v>
      </c>
      <c r="O126">
        <v>2083.13</v>
      </c>
      <c r="P126">
        <v>6361.21</v>
      </c>
      <c r="Q126">
        <v>22.33</v>
      </c>
      <c r="R126">
        <v>5.95</v>
      </c>
      <c r="S126">
        <v>205.37</v>
      </c>
      <c r="T126">
        <v>5.71</v>
      </c>
      <c r="U126">
        <f>Social_Media_Campaign_Data[[#This Row],[Likes]]+Social_Media_Campaign_Data[[#This Row],[Comments]]+Social_Media_Campaign_Data[[#This Row],[Shares]]</f>
        <v>3632</v>
      </c>
      <c r="V126" t="str">
        <f>TEXT(Social_Media_Campaign_Data[[#This Row],[Date]],"mmmm")</f>
        <v>June</v>
      </c>
    </row>
    <row r="127" spans="1:22" x14ac:dyDescent="0.3">
      <c r="A127" s="1" t="s">
        <v>172</v>
      </c>
      <c r="B127" s="1" t="s">
        <v>46</v>
      </c>
      <c r="C127" s="1" t="s">
        <v>22</v>
      </c>
      <c r="D127" s="1" t="s">
        <v>23</v>
      </c>
      <c r="E127" s="1" t="s">
        <v>24</v>
      </c>
      <c r="F127" s="1" t="s">
        <v>42</v>
      </c>
      <c r="G127" s="2">
        <v>45675</v>
      </c>
      <c r="H127">
        <v>8759</v>
      </c>
      <c r="I127">
        <v>807</v>
      </c>
      <c r="J127">
        <v>737</v>
      </c>
      <c r="K127">
        <v>3527</v>
      </c>
      <c r="L127">
        <v>392</v>
      </c>
      <c r="M127">
        <v>535</v>
      </c>
      <c r="N127">
        <v>9081</v>
      </c>
      <c r="O127">
        <v>8110.41</v>
      </c>
      <c r="P127">
        <v>31451.66</v>
      </c>
      <c r="Q127">
        <v>9.2100000000000009</v>
      </c>
      <c r="R127">
        <v>91.33</v>
      </c>
      <c r="S127">
        <v>287.79000000000002</v>
      </c>
      <c r="T127">
        <v>49.05</v>
      </c>
      <c r="U127">
        <f>Social_Media_Campaign_Data[[#This Row],[Likes]]+Social_Media_Campaign_Data[[#This Row],[Comments]]+Social_Media_Campaign_Data[[#This Row],[Shares]]</f>
        <v>4454</v>
      </c>
      <c r="V127" t="str">
        <f>TEXT(Social_Media_Campaign_Data[[#This Row],[Date]],"mmmm")</f>
        <v>January</v>
      </c>
    </row>
    <row r="128" spans="1:22" x14ac:dyDescent="0.3">
      <c r="A128" s="1" t="s">
        <v>173</v>
      </c>
      <c r="B128" s="1" t="s">
        <v>56</v>
      </c>
      <c r="C128" s="1" t="s">
        <v>36</v>
      </c>
      <c r="D128" s="1" t="s">
        <v>33</v>
      </c>
      <c r="E128" s="1" t="s">
        <v>50</v>
      </c>
      <c r="F128" s="1" t="s">
        <v>25</v>
      </c>
      <c r="G128" s="2">
        <v>45804</v>
      </c>
      <c r="H128">
        <v>20466</v>
      </c>
      <c r="I128">
        <v>6877</v>
      </c>
      <c r="J128">
        <v>710</v>
      </c>
      <c r="K128">
        <v>3200</v>
      </c>
      <c r="L128">
        <v>390</v>
      </c>
      <c r="M128">
        <v>402</v>
      </c>
      <c r="N128">
        <v>25111</v>
      </c>
      <c r="O128">
        <v>9519.94</v>
      </c>
      <c r="P128">
        <v>15358.98</v>
      </c>
      <c r="Q128">
        <v>33.6</v>
      </c>
      <c r="R128">
        <v>10.32</v>
      </c>
      <c r="S128">
        <v>61.33</v>
      </c>
      <c r="T128">
        <v>15.9</v>
      </c>
      <c r="U128">
        <f>Social_Media_Campaign_Data[[#This Row],[Likes]]+Social_Media_Campaign_Data[[#This Row],[Comments]]+Social_Media_Campaign_Data[[#This Row],[Shares]]</f>
        <v>3992</v>
      </c>
      <c r="V128" t="str">
        <f>TEXT(Social_Media_Campaign_Data[[#This Row],[Date]],"mmmm")</f>
        <v>May</v>
      </c>
    </row>
    <row r="129" spans="1:22" x14ac:dyDescent="0.3">
      <c r="A129" s="1" t="s">
        <v>174</v>
      </c>
      <c r="B129" s="1" t="s">
        <v>56</v>
      </c>
      <c r="C129" s="1" t="s">
        <v>22</v>
      </c>
      <c r="D129" s="1" t="s">
        <v>23</v>
      </c>
      <c r="E129" s="1" t="s">
        <v>41</v>
      </c>
      <c r="F129" s="1" t="s">
        <v>25</v>
      </c>
      <c r="G129" s="2">
        <v>45725</v>
      </c>
      <c r="H129">
        <v>14023</v>
      </c>
      <c r="I129">
        <v>4837</v>
      </c>
      <c r="J129">
        <v>425</v>
      </c>
      <c r="K129">
        <v>3460</v>
      </c>
      <c r="L129">
        <v>341</v>
      </c>
      <c r="M129">
        <v>295</v>
      </c>
      <c r="N129">
        <v>29385</v>
      </c>
      <c r="O129">
        <v>2871.31</v>
      </c>
      <c r="P129">
        <v>5447.08</v>
      </c>
      <c r="Q129">
        <v>34.49</v>
      </c>
      <c r="R129">
        <v>8.7899999999999991</v>
      </c>
      <c r="S129">
        <v>89.71</v>
      </c>
      <c r="T129">
        <v>13.94</v>
      </c>
      <c r="U129">
        <f>Social_Media_Campaign_Data[[#This Row],[Likes]]+Social_Media_Campaign_Data[[#This Row],[Comments]]+Social_Media_Campaign_Data[[#This Row],[Shares]]</f>
        <v>4096</v>
      </c>
      <c r="V129" t="str">
        <f>TEXT(Social_Media_Campaign_Data[[#This Row],[Date]],"mmmm")</f>
        <v>March</v>
      </c>
    </row>
    <row r="130" spans="1:22" x14ac:dyDescent="0.3">
      <c r="A130" s="1" t="s">
        <v>175</v>
      </c>
      <c r="B130" s="1" t="s">
        <v>21</v>
      </c>
      <c r="C130" s="1" t="s">
        <v>49</v>
      </c>
      <c r="D130" s="1" t="s">
        <v>37</v>
      </c>
      <c r="E130" s="1" t="s">
        <v>50</v>
      </c>
      <c r="F130" s="1" t="s">
        <v>42</v>
      </c>
      <c r="G130" s="2">
        <v>45771</v>
      </c>
      <c r="H130">
        <v>22058</v>
      </c>
      <c r="I130">
        <v>6267</v>
      </c>
      <c r="J130">
        <v>506</v>
      </c>
      <c r="K130">
        <v>1957</v>
      </c>
      <c r="L130">
        <v>646</v>
      </c>
      <c r="M130">
        <v>302</v>
      </c>
      <c r="N130">
        <v>31237</v>
      </c>
      <c r="O130">
        <v>7092.82</v>
      </c>
      <c r="P130">
        <v>35430.06</v>
      </c>
      <c r="Q130">
        <v>28.41</v>
      </c>
      <c r="R130">
        <v>8.07</v>
      </c>
      <c r="S130">
        <v>399.52</v>
      </c>
      <c r="T130">
        <v>9.3000000000000007</v>
      </c>
      <c r="U130">
        <f>Social_Media_Campaign_Data[[#This Row],[Likes]]+Social_Media_Campaign_Data[[#This Row],[Comments]]+Social_Media_Campaign_Data[[#This Row],[Shares]]</f>
        <v>2905</v>
      </c>
      <c r="V130" t="str">
        <f>TEXT(Social_Media_Campaign_Data[[#This Row],[Date]],"mmmm")</f>
        <v>April</v>
      </c>
    </row>
    <row r="131" spans="1:22" x14ac:dyDescent="0.3">
      <c r="A131" s="1" t="s">
        <v>176</v>
      </c>
      <c r="B131" s="1" t="s">
        <v>46</v>
      </c>
      <c r="C131" s="1" t="s">
        <v>49</v>
      </c>
      <c r="D131" s="1" t="s">
        <v>33</v>
      </c>
      <c r="E131" s="1" t="s">
        <v>41</v>
      </c>
      <c r="F131" s="1" t="s">
        <v>42</v>
      </c>
      <c r="G131" s="2">
        <v>45689</v>
      </c>
      <c r="H131">
        <v>10753</v>
      </c>
      <c r="I131">
        <v>3118</v>
      </c>
      <c r="J131">
        <v>733</v>
      </c>
      <c r="K131">
        <v>3046</v>
      </c>
      <c r="L131">
        <v>746</v>
      </c>
      <c r="M131">
        <v>76</v>
      </c>
      <c r="N131">
        <v>44315</v>
      </c>
      <c r="O131">
        <v>5724.97</v>
      </c>
      <c r="P131">
        <v>14405.56</v>
      </c>
      <c r="Q131">
        <v>29</v>
      </c>
      <c r="R131">
        <v>23.51</v>
      </c>
      <c r="S131">
        <v>151.63</v>
      </c>
      <c r="T131">
        <v>8.73</v>
      </c>
      <c r="U131">
        <f>Social_Media_Campaign_Data[[#This Row],[Likes]]+Social_Media_Campaign_Data[[#This Row],[Comments]]+Social_Media_Campaign_Data[[#This Row],[Shares]]</f>
        <v>3868</v>
      </c>
      <c r="V131" t="str">
        <f>TEXT(Social_Media_Campaign_Data[[#This Row],[Date]],"mmmm")</f>
        <v>February</v>
      </c>
    </row>
    <row r="132" spans="1:22" x14ac:dyDescent="0.3">
      <c r="A132" s="1" t="s">
        <v>177</v>
      </c>
      <c r="B132" s="1" t="s">
        <v>46</v>
      </c>
      <c r="C132" s="1" t="s">
        <v>22</v>
      </c>
      <c r="D132" s="1" t="s">
        <v>37</v>
      </c>
      <c r="E132" s="1" t="s">
        <v>24</v>
      </c>
      <c r="F132" s="1" t="s">
        <v>47</v>
      </c>
      <c r="G132" s="2">
        <v>45759</v>
      </c>
      <c r="H132">
        <v>18171</v>
      </c>
      <c r="I132">
        <v>6988</v>
      </c>
      <c r="J132">
        <v>192</v>
      </c>
      <c r="K132">
        <v>2139</v>
      </c>
      <c r="L132">
        <v>525</v>
      </c>
      <c r="M132">
        <v>36</v>
      </c>
      <c r="N132">
        <v>66263</v>
      </c>
      <c r="O132">
        <v>3928.52</v>
      </c>
      <c r="P132">
        <v>13761.49</v>
      </c>
      <c r="Q132">
        <v>38.46</v>
      </c>
      <c r="R132">
        <v>2.75</v>
      </c>
      <c r="S132">
        <v>250.3</v>
      </c>
      <c r="T132">
        <v>4.07</v>
      </c>
      <c r="U132">
        <f>Social_Media_Campaign_Data[[#This Row],[Likes]]+Social_Media_Campaign_Data[[#This Row],[Comments]]+Social_Media_Campaign_Data[[#This Row],[Shares]]</f>
        <v>2700</v>
      </c>
      <c r="V132" t="str">
        <f>TEXT(Social_Media_Campaign_Data[[#This Row],[Date]],"mmmm")</f>
        <v>April</v>
      </c>
    </row>
    <row r="133" spans="1:22" x14ac:dyDescent="0.3">
      <c r="A133" s="1" t="s">
        <v>178</v>
      </c>
      <c r="B133" s="1" t="s">
        <v>56</v>
      </c>
      <c r="C133" s="1" t="s">
        <v>28</v>
      </c>
      <c r="D133" s="1" t="s">
        <v>29</v>
      </c>
      <c r="E133" s="1" t="s">
        <v>30</v>
      </c>
      <c r="F133" s="1" t="s">
        <v>42</v>
      </c>
      <c r="G133" s="2">
        <v>45799</v>
      </c>
      <c r="H133">
        <v>36369</v>
      </c>
      <c r="I133">
        <v>4806</v>
      </c>
      <c r="J133">
        <v>470</v>
      </c>
      <c r="K133">
        <v>3554</v>
      </c>
      <c r="L133">
        <v>608</v>
      </c>
      <c r="M133">
        <v>85</v>
      </c>
      <c r="N133">
        <v>14720</v>
      </c>
      <c r="O133">
        <v>1690.6</v>
      </c>
      <c r="P133">
        <v>4411.78</v>
      </c>
      <c r="Q133">
        <v>13.21</v>
      </c>
      <c r="R133">
        <v>9.7799999999999994</v>
      </c>
      <c r="S133">
        <v>160.96</v>
      </c>
      <c r="T133">
        <v>28.85</v>
      </c>
      <c r="U133">
        <f>Social_Media_Campaign_Data[[#This Row],[Likes]]+Social_Media_Campaign_Data[[#This Row],[Comments]]+Social_Media_Campaign_Data[[#This Row],[Shares]]</f>
        <v>4247</v>
      </c>
      <c r="V133" t="str">
        <f>TEXT(Social_Media_Campaign_Data[[#This Row],[Date]],"mmmm")</f>
        <v>May</v>
      </c>
    </row>
    <row r="134" spans="1:22" x14ac:dyDescent="0.3">
      <c r="A134" s="1" t="s">
        <v>179</v>
      </c>
      <c r="B134" s="1" t="s">
        <v>46</v>
      </c>
      <c r="C134" s="1" t="s">
        <v>36</v>
      </c>
      <c r="D134" s="1" t="s">
        <v>40</v>
      </c>
      <c r="E134" s="1" t="s">
        <v>38</v>
      </c>
      <c r="F134" s="1" t="s">
        <v>47</v>
      </c>
      <c r="G134" s="2">
        <v>45715</v>
      </c>
      <c r="H134">
        <v>46929</v>
      </c>
      <c r="I134">
        <v>5315</v>
      </c>
      <c r="J134">
        <v>236</v>
      </c>
      <c r="K134">
        <v>1257</v>
      </c>
      <c r="L134">
        <v>463</v>
      </c>
      <c r="M134">
        <v>524</v>
      </c>
      <c r="N134">
        <v>21274</v>
      </c>
      <c r="O134">
        <v>9151.77</v>
      </c>
      <c r="P134">
        <v>15502.59</v>
      </c>
      <c r="Q134">
        <v>11.33</v>
      </c>
      <c r="R134">
        <v>4.4400000000000004</v>
      </c>
      <c r="S134">
        <v>69.39</v>
      </c>
      <c r="T134">
        <v>10.55</v>
      </c>
      <c r="U134">
        <f>Social_Media_Campaign_Data[[#This Row],[Likes]]+Social_Media_Campaign_Data[[#This Row],[Comments]]+Social_Media_Campaign_Data[[#This Row],[Shares]]</f>
        <v>2244</v>
      </c>
      <c r="V134" t="str">
        <f>TEXT(Social_Media_Campaign_Data[[#This Row],[Date]],"mmmm")</f>
        <v>February</v>
      </c>
    </row>
    <row r="135" spans="1:22" x14ac:dyDescent="0.3">
      <c r="A135" s="1" t="s">
        <v>180</v>
      </c>
      <c r="B135" s="1" t="s">
        <v>46</v>
      </c>
      <c r="C135" s="1" t="s">
        <v>36</v>
      </c>
      <c r="D135" s="1" t="s">
        <v>29</v>
      </c>
      <c r="E135" s="1" t="s">
        <v>41</v>
      </c>
      <c r="F135" s="1" t="s">
        <v>25</v>
      </c>
      <c r="G135" s="2">
        <v>45786</v>
      </c>
      <c r="H135">
        <v>27676</v>
      </c>
      <c r="I135">
        <v>4750</v>
      </c>
      <c r="J135">
        <v>966</v>
      </c>
      <c r="K135">
        <v>2526</v>
      </c>
      <c r="L135">
        <v>100</v>
      </c>
      <c r="M135">
        <v>266</v>
      </c>
      <c r="N135">
        <v>40972</v>
      </c>
      <c r="O135">
        <v>2364.87</v>
      </c>
      <c r="P135">
        <v>11463.07</v>
      </c>
      <c r="Q135">
        <v>17.16</v>
      </c>
      <c r="R135">
        <v>20.34</v>
      </c>
      <c r="S135">
        <v>384.72</v>
      </c>
      <c r="T135">
        <v>7.06</v>
      </c>
      <c r="U135">
        <f>Social_Media_Campaign_Data[[#This Row],[Likes]]+Social_Media_Campaign_Data[[#This Row],[Comments]]+Social_Media_Campaign_Data[[#This Row],[Shares]]</f>
        <v>2892</v>
      </c>
      <c r="V135" t="str">
        <f>TEXT(Social_Media_Campaign_Data[[#This Row],[Date]],"mmmm")</f>
        <v>May</v>
      </c>
    </row>
    <row r="136" spans="1:22" x14ac:dyDescent="0.3">
      <c r="A136" s="1" t="s">
        <v>181</v>
      </c>
      <c r="B136" s="1" t="s">
        <v>32</v>
      </c>
      <c r="C136" s="1" t="s">
        <v>22</v>
      </c>
      <c r="D136" s="1" t="s">
        <v>37</v>
      </c>
      <c r="E136" s="1" t="s">
        <v>24</v>
      </c>
      <c r="F136" s="1" t="s">
        <v>25</v>
      </c>
      <c r="G136" s="2">
        <v>45669</v>
      </c>
      <c r="H136">
        <v>47007</v>
      </c>
      <c r="I136">
        <v>1881</v>
      </c>
      <c r="J136">
        <v>656</v>
      </c>
      <c r="K136">
        <v>4956</v>
      </c>
      <c r="L136">
        <v>177</v>
      </c>
      <c r="M136">
        <v>185</v>
      </c>
      <c r="N136">
        <v>84316</v>
      </c>
      <c r="O136">
        <v>6757.96</v>
      </c>
      <c r="P136">
        <v>27181.97</v>
      </c>
      <c r="Q136">
        <v>4</v>
      </c>
      <c r="R136">
        <v>34.880000000000003</v>
      </c>
      <c r="S136">
        <v>302.22000000000003</v>
      </c>
      <c r="T136">
        <v>6.31</v>
      </c>
      <c r="U136">
        <f>Social_Media_Campaign_Data[[#This Row],[Likes]]+Social_Media_Campaign_Data[[#This Row],[Comments]]+Social_Media_Campaign_Data[[#This Row],[Shares]]</f>
        <v>5318</v>
      </c>
      <c r="V136" t="str">
        <f>TEXT(Social_Media_Campaign_Data[[#This Row],[Date]],"mmmm")</f>
        <v>January</v>
      </c>
    </row>
    <row r="137" spans="1:22" x14ac:dyDescent="0.3">
      <c r="A137" s="1" t="s">
        <v>182</v>
      </c>
      <c r="B137" s="1" t="s">
        <v>44</v>
      </c>
      <c r="C137" s="1" t="s">
        <v>28</v>
      </c>
      <c r="D137" s="1" t="s">
        <v>29</v>
      </c>
      <c r="E137" s="1" t="s">
        <v>30</v>
      </c>
      <c r="F137" s="1" t="s">
        <v>47</v>
      </c>
      <c r="G137" s="2">
        <v>45781</v>
      </c>
      <c r="H137">
        <v>47038</v>
      </c>
      <c r="I137">
        <v>6816</v>
      </c>
      <c r="J137">
        <v>640</v>
      </c>
      <c r="K137">
        <v>2368</v>
      </c>
      <c r="L137">
        <v>686</v>
      </c>
      <c r="M137">
        <v>225</v>
      </c>
      <c r="N137">
        <v>88753</v>
      </c>
      <c r="O137">
        <v>7786.11</v>
      </c>
      <c r="P137">
        <v>23031.73</v>
      </c>
      <c r="Q137">
        <v>14.49</v>
      </c>
      <c r="R137">
        <v>9.39</v>
      </c>
      <c r="S137">
        <v>195.81</v>
      </c>
      <c r="T137">
        <v>3.69</v>
      </c>
      <c r="U137">
        <f>Social_Media_Campaign_Data[[#This Row],[Likes]]+Social_Media_Campaign_Data[[#This Row],[Comments]]+Social_Media_Campaign_Data[[#This Row],[Shares]]</f>
        <v>3279</v>
      </c>
      <c r="V137" t="str">
        <f>TEXT(Social_Media_Campaign_Data[[#This Row],[Date]],"mmmm")</f>
        <v>May</v>
      </c>
    </row>
    <row r="138" spans="1:22" x14ac:dyDescent="0.3">
      <c r="A138" s="1" t="s">
        <v>183</v>
      </c>
      <c r="B138" s="1" t="s">
        <v>56</v>
      </c>
      <c r="C138" s="1" t="s">
        <v>28</v>
      </c>
      <c r="D138" s="1" t="s">
        <v>40</v>
      </c>
      <c r="E138" s="1" t="s">
        <v>30</v>
      </c>
      <c r="F138" s="1" t="s">
        <v>42</v>
      </c>
      <c r="G138" s="2">
        <v>45738</v>
      </c>
      <c r="H138">
        <v>21048</v>
      </c>
      <c r="I138">
        <v>6111</v>
      </c>
      <c r="J138">
        <v>465</v>
      </c>
      <c r="K138">
        <v>2636</v>
      </c>
      <c r="L138">
        <v>484</v>
      </c>
      <c r="M138">
        <v>84</v>
      </c>
      <c r="N138">
        <v>59476</v>
      </c>
      <c r="O138">
        <v>7041.83</v>
      </c>
      <c r="P138">
        <v>14458.86</v>
      </c>
      <c r="Q138">
        <v>29.03</v>
      </c>
      <c r="R138">
        <v>7.61</v>
      </c>
      <c r="S138">
        <v>105.33</v>
      </c>
      <c r="T138">
        <v>5.39</v>
      </c>
      <c r="U138">
        <f>Social_Media_Campaign_Data[[#This Row],[Likes]]+Social_Media_Campaign_Data[[#This Row],[Comments]]+Social_Media_Campaign_Data[[#This Row],[Shares]]</f>
        <v>3204</v>
      </c>
      <c r="V138" t="str">
        <f>TEXT(Social_Media_Campaign_Data[[#This Row],[Date]],"mmmm")</f>
        <v>March</v>
      </c>
    </row>
    <row r="139" spans="1:22" x14ac:dyDescent="0.3">
      <c r="A139" s="1" t="s">
        <v>184</v>
      </c>
      <c r="B139" s="1" t="s">
        <v>32</v>
      </c>
      <c r="C139" s="1" t="s">
        <v>49</v>
      </c>
      <c r="D139" s="1" t="s">
        <v>23</v>
      </c>
      <c r="E139" s="1" t="s">
        <v>24</v>
      </c>
      <c r="F139" s="1" t="s">
        <v>47</v>
      </c>
      <c r="G139" s="2">
        <v>45773</v>
      </c>
      <c r="H139">
        <v>25926</v>
      </c>
      <c r="I139">
        <v>6514</v>
      </c>
      <c r="J139">
        <v>931</v>
      </c>
      <c r="K139">
        <v>3029</v>
      </c>
      <c r="L139">
        <v>428</v>
      </c>
      <c r="M139">
        <v>143</v>
      </c>
      <c r="N139">
        <v>18917</v>
      </c>
      <c r="O139">
        <v>7726.32</v>
      </c>
      <c r="P139">
        <v>25515.63</v>
      </c>
      <c r="Q139">
        <v>25.13</v>
      </c>
      <c r="R139">
        <v>14.29</v>
      </c>
      <c r="S139">
        <v>230.24</v>
      </c>
      <c r="T139">
        <v>19.03</v>
      </c>
      <c r="U139">
        <f>Social_Media_Campaign_Data[[#This Row],[Likes]]+Social_Media_Campaign_Data[[#This Row],[Comments]]+Social_Media_Campaign_Data[[#This Row],[Shares]]</f>
        <v>3600</v>
      </c>
      <c r="V139" t="str">
        <f>TEXT(Social_Media_Campaign_Data[[#This Row],[Date]],"mmmm")</f>
        <v>April</v>
      </c>
    </row>
    <row r="140" spans="1:22" x14ac:dyDescent="0.3">
      <c r="A140" s="1" t="s">
        <v>185</v>
      </c>
      <c r="B140" s="1" t="s">
        <v>32</v>
      </c>
      <c r="C140" s="1" t="s">
        <v>22</v>
      </c>
      <c r="D140" s="1" t="s">
        <v>33</v>
      </c>
      <c r="E140" s="1" t="s">
        <v>38</v>
      </c>
      <c r="F140" s="1" t="s">
        <v>42</v>
      </c>
      <c r="G140" s="2">
        <v>45785</v>
      </c>
      <c r="H140">
        <v>21247</v>
      </c>
      <c r="I140">
        <v>1654</v>
      </c>
      <c r="J140">
        <v>149</v>
      </c>
      <c r="K140">
        <v>614</v>
      </c>
      <c r="L140">
        <v>317</v>
      </c>
      <c r="M140">
        <v>403</v>
      </c>
      <c r="N140">
        <v>25932</v>
      </c>
      <c r="O140">
        <v>8709.56</v>
      </c>
      <c r="P140">
        <v>25810.53</v>
      </c>
      <c r="Q140">
        <v>7.78</v>
      </c>
      <c r="R140">
        <v>9.01</v>
      </c>
      <c r="S140">
        <v>196.35</v>
      </c>
      <c r="T140">
        <v>5.14</v>
      </c>
      <c r="U140">
        <f>Social_Media_Campaign_Data[[#This Row],[Likes]]+Social_Media_Campaign_Data[[#This Row],[Comments]]+Social_Media_Campaign_Data[[#This Row],[Shares]]</f>
        <v>1334</v>
      </c>
      <c r="V140" t="str">
        <f>TEXT(Social_Media_Campaign_Data[[#This Row],[Date]],"mmmm")</f>
        <v>May</v>
      </c>
    </row>
    <row r="141" spans="1:22" x14ac:dyDescent="0.3">
      <c r="A141" s="1" t="s">
        <v>186</v>
      </c>
      <c r="B141" s="1" t="s">
        <v>27</v>
      </c>
      <c r="C141" s="1" t="s">
        <v>49</v>
      </c>
      <c r="D141" s="1" t="s">
        <v>29</v>
      </c>
      <c r="E141" s="1" t="s">
        <v>30</v>
      </c>
      <c r="F141" s="1" t="s">
        <v>25</v>
      </c>
      <c r="G141" s="2">
        <v>45670</v>
      </c>
      <c r="H141">
        <v>38733</v>
      </c>
      <c r="I141">
        <v>4324</v>
      </c>
      <c r="J141">
        <v>560</v>
      </c>
      <c r="K141">
        <v>2727</v>
      </c>
      <c r="L141">
        <v>529</v>
      </c>
      <c r="M141">
        <v>33</v>
      </c>
      <c r="N141">
        <v>64930</v>
      </c>
      <c r="O141">
        <v>1355.47</v>
      </c>
      <c r="P141">
        <v>3898.8</v>
      </c>
      <c r="Q141">
        <v>11.16</v>
      </c>
      <c r="R141">
        <v>12.95</v>
      </c>
      <c r="S141">
        <v>187.63</v>
      </c>
      <c r="T141">
        <v>5.07</v>
      </c>
      <c r="U141">
        <f>Social_Media_Campaign_Data[[#This Row],[Likes]]+Social_Media_Campaign_Data[[#This Row],[Comments]]+Social_Media_Campaign_Data[[#This Row],[Shares]]</f>
        <v>3289</v>
      </c>
      <c r="V141" t="str">
        <f>TEXT(Social_Media_Campaign_Data[[#This Row],[Date]],"mmmm")</f>
        <v>January</v>
      </c>
    </row>
    <row r="142" spans="1:22" x14ac:dyDescent="0.3">
      <c r="A142" s="1" t="s">
        <v>187</v>
      </c>
      <c r="B142" s="1" t="s">
        <v>69</v>
      </c>
      <c r="C142" s="1" t="s">
        <v>36</v>
      </c>
      <c r="D142" s="1" t="s">
        <v>23</v>
      </c>
      <c r="E142" s="1" t="s">
        <v>30</v>
      </c>
      <c r="F142" s="1" t="s">
        <v>25</v>
      </c>
      <c r="G142" s="2">
        <v>45760</v>
      </c>
      <c r="H142">
        <v>23438</v>
      </c>
      <c r="I142">
        <v>4554</v>
      </c>
      <c r="J142">
        <v>661</v>
      </c>
      <c r="K142">
        <v>4055</v>
      </c>
      <c r="L142">
        <v>312</v>
      </c>
      <c r="M142">
        <v>559</v>
      </c>
      <c r="N142">
        <v>22555</v>
      </c>
      <c r="O142">
        <v>577.69000000000005</v>
      </c>
      <c r="P142">
        <v>1083.8800000000001</v>
      </c>
      <c r="Q142">
        <v>19.43</v>
      </c>
      <c r="R142">
        <v>14.51</v>
      </c>
      <c r="S142">
        <v>87.62</v>
      </c>
      <c r="T142">
        <v>21.84</v>
      </c>
      <c r="U142">
        <f>Social_Media_Campaign_Data[[#This Row],[Likes]]+Social_Media_Campaign_Data[[#This Row],[Comments]]+Social_Media_Campaign_Data[[#This Row],[Shares]]</f>
        <v>4926</v>
      </c>
      <c r="V142" t="str">
        <f>TEXT(Social_Media_Campaign_Data[[#This Row],[Date]],"mmmm")</f>
        <v>April</v>
      </c>
    </row>
    <row r="143" spans="1:22" x14ac:dyDescent="0.3">
      <c r="A143" s="1" t="s">
        <v>188</v>
      </c>
      <c r="B143" s="1" t="s">
        <v>69</v>
      </c>
      <c r="C143" s="1" t="s">
        <v>22</v>
      </c>
      <c r="D143" s="1" t="s">
        <v>29</v>
      </c>
      <c r="E143" s="1" t="s">
        <v>24</v>
      </c>
      <c r="F143" s="1" t="s">
        <v>42</v>
      </c>
      <c r="G143" s="2">
        <v>45682</v>
      </c>
      <c r="H143">
        <v>8352</v>
      </c>
      <c r="I143">
        <v>2835</v>
      </c>
      <c r="J143">
        <v>625</v>
      </c>
      <c r="K143">
        <v>1794</v>
      </c>
      <c r="L143">
        <v>391</v>
      </c>
      <c r="M143">
        <v>576</v>
      </c>
      <c r="N143">
        <v>64028</v>
      </c>
      <c r="O143">
        <v>3241.72</v>
      </c>
      <c r="P143">
        <v>9246.1</v>
      </c>
      <c r="Q143">
        <v>33.94</v>
      </c>
      <c r="R143">
        <v>22.05</v>
      </c>
      <c r="S143">
        <v>185.22</v>
      </c>
      <c r="T143">
        <v>4.3099999999999996</v>
      </c>
      <c r="U143">
        <f>Social_Media_Campaign_Data[[#This Row],[Likes]]+Social_Media_Campaign_Data[[#This Row],[Comments]]+Social_Media_Campaign_Data[[#This Row],[Shares]]</f>
        <v>2761</v>
      </c>
      <c r="V143" t="str">
        <f>TEXT(Social_Media_Campaign_Data[[#This Row],[Date]],"mmmm")</f>
        <v>January</v>
      </c>
    </row>
    <row r="144" spans="1:22" x14ac:dyDescent="0.3">
      <c r="A144" s="1" t="s">
        <v>189</v>
      </c>
      <c r="B144" s="1" t="s">
        <v>63</v>
      </c>
      <c r="C144" s="1" t="s">
        <v>22</v>
      </c>
      <c r="D144" s="1" t="s">
        <v>37</v>
      </c>
      <c r="E144" s="1" t="s">
        <v>24</v>
      </c>
      <c r="F144" s="1" t="s">
        <v>25</v>
      </c>
      <c r="G144" s="2">
        <v>45693</v>
      </c>
      <c r="H144">
        <v>30814</v>
      </c>
      <c r="I144">
        <v>3557</v>
      </c>
      <c r="J144">
        <v>863</v>
      </c>
      <c r="K144">
        <v>2977</v>
      </c>
      <c r="L144">
        <v>591</v>
      </c>
      <c r="M144">
        <v>384</v>
      </c>
      <c r="N144">
        <v>71731</v>
      </c>
      <c r="O144">
        <v>7672.17</v>
      </c>
      <c r="P144">
        <v>16853.48</v>
      </c>
      <c r="Q144">
        <v>11.54</v>
      </c>
      <c r="R144">
        <v>24.26</v>
      </c>
      <c r="S144">
        <v>119.67</v>
      </c>
      <c r="T144">
        <v>5.51</v>
      </c>
      <c r="U144">
        <f>Social_Media_Campaign_Data[[#This Row],[Likes]]+Social_Media_Campaign_Data[[#This Row],[Comments]]+Social_Media_Campaign_Data[[#This Row],[Shares]]</f>
        <v>3952</v>
      </c>
      <c r="V144" t="str">
        <f>TEXT(Social_Media_Campaign_Data[[#This Row],[Date]],"mmmm")</f>
        <v>February</v>
      </c>
    </row>
    <row r="145" spans="1:22" x14ac:dyDescent="0.3">
      <c r="A145" s="1" t="s">
        <v>190</v>
      </c>
      <c r="B145" s="1" t="s">
        <v>46</v>
      </c>
      <c r="C145" s="1" t="s">
        <v>28</v>
      </c>
      <c r="D145" s="1" t="s">
        <v>29</v>
      </c>
      <c r="E145" s="1" t="s">
        <v>30</v>
      </c>
      <c r="F145" s="1" t="s">
        <v>47</v>
      </c>
      <c r="G145" s="2">
        <v>45787</v>
      </c>
      <c r="H145">
        <v>26826</v>
      </c>
      <c r="I145">
        <v>4380</v>
      </c>
      <c r="J145">
        <v>581</v>
      </c>
      <c r="K145">
        <v>3943</v>
      </c>
      <c r="L145">
        <v>172</v>
      </c>
      <c r="M145">
        <v>537</v>
      </c>
      <c r="N145">
        <v>46750</v>
      </c>
      <c r="O145">
        <v>1827.92</v>
      </c>
      <c r="P145">
        <v>8700.52</v>
      </c>
      <c r="Q145">
        <v>16.329999999999998</v>
      </c>
      <c r="R145">
        <v>13.26</v>
      </c>
      <c r="S145">
        <v>375.98</v>
      </c>
      <c r="T145">
        <v>9.9499999999999993</v>
      </c>
      <c r="U145">
        <f>Social_Media_Campaign_Data[[#This Row],[Likes]]+Social_Media_Campaign_Data[[#This Row],[Comments]]+Social_Media_Campaign_Data[[#This Row],[Shares]]</f>
        <v>4652</v>
      </c>
      <c r="V145" t="str">
        <f>TEXT(Social_Media_Campaign_Data[[#This Row],[Date]],"mmmm")</f>
        <v>May</v>
      </c>
    </row>
    <row r="146" spans="1:22" x14ac:dyDescent="0.3">
      <c r="A146" s="1" t="s">
        <v>191</v>
      </c>
      <c r="B146" s="1" t="s">
        <v>21</v>
      </c>
      <c r="C146" s="1" t="s">
        <v>28</v>
      </c>
      <c r="D146" s="1" t="s">
        <v>29</v>
      </c>
      <c r="E146" s="1" t="s">
        <v>30</v>
      </c>
      <c r="F146" s="1" t="s">
        <v>25</v>
      </c>
      <c r="G146" s="2">
        <v>45810</v>
      </c>
      <c r="H146">
        <v>38404</v>
      </c>
      <c r="I146">
        <v>4860</v>
      </c>
      <c r="J146">
        <v>551</v>
      </c>
      <c r="K146">
        <v>4811</v>
      </c>
      <c r="L146">
        <v>326</v>
      </c>
      <c r="M146">
        <v>496</v>
      </c>
      <c r="N146">
        <v>93317</v>
      </c>
      <c r="O146">
        <v>8249.61</v>
      </c>
      <c r="P146">
        <v>23010.240000000002</v>
      </c>
      <c r="Q146">
        <v>12.65</v>
      </c>
      <c r="R146">
        <v>11.34</v>
      </c>
      <c r="S146">
        <v>178.93</v>
      </c>
      <c r="T146">
        <v>6.04</v>
      </c>
      <c r="U146">
        <f>Social_Media_Campaign_Data[[#This Row],[Likes]]+Social_Media_Campaign_Data[[#This Row],[Comments]]+Social_Media_Campaign_Data[[#This Row],[Shares]]</f>
        <v>5633</v>
      </c>
      <c r="V146" t="str">
        <f>TEXT(Social_Media_Campaign_Data[[#This Row],[Date]],"mmmm")</f>
        <v>June</v>
      </c>
    </row>
    <row r="147" spans="1:22" x14ac:dyDescent="0.3">
      <c r="A147" s="1" t="s">
        <v>192</v>
      </c>
      <c r="B147" s="1" t="s">
        <v>63</v>
      </c>
      <c r="C147" s="1" t="s">
        <v>49</v>
      </c>
      <c r="D147" s="1" t="s">
        <v>40</v>
      </c>
      <c r="E147" s="1" t="s">
        <v>24</v>
      </c>
      <c r="F147" s="1" t="s">
        <v>25</v>
      </c>
      <c r="G147" s="2">
        <v>45706</v>
      </c>
      <c r="H147">
        <v>36102</v>
      </c>
      <c r="I147">
        <v>2675</v>
      </c>
      <c r="J147">
        <v>721</v>
      </c>
      <c r="K147">
        <v>4938</v>
      </c>
      <c r="L147">
        <v>611</v>
      </c>
      <c r="M147">
        <v>243</v>
      </c>
      <c r="N147">
        <v>27349</v>
      </c>
      <c r="O147">
        <v>7353.3</v>
      </c>
      <c r="P147">
        <v>26047.83</v>
      </c>
      <c r="Q147">
        <v>7.41</v>
      </c>
      <c r="R147">
        <v>26.95</v>
      </c>
      <c r="S147">
        <v>254.23</v>
      </c>
      <c r="T147">
        <v>21.18</v>
      </c>
      <c r="U147">
        <f>Social_Media_Campaign_Data[[#This Row],[Likes]]+Social_Media_Campaign_Data[[#This Row],[Comments]]+Social_Media_Campaign_Data[[#This Row],[Shares]]</f>
        <v>5792</v>
      </c>
      <c r="V147" t="str">
        <f>TEXT(Social_Media_Campaign_Data[[#This Row],[Date]],"mmmm")</f>
        <v>February</v>
      </c>
    </row>
    <row r="148" spans="1:22" x14ac:dyDescent="0.3">
      <c r="A148" s="1" t="s">
        <v>193</v>
      </c>
      <c r="B148" s="1" t="s">
        <v>56</v>
      </c>
      <c r="C148" s="1" t="s">
        <v>58</v>
      </c>
      <c r="D148" s="1" t="s">
        <v>40</v>
      </c>
      <c r="E148" s="1" t="s">
        <v>41</v>
      </c>
      <c r="F148" s="1" t="s">
        <v>42</v>
      </c>
      <c r="G148" s="2">
        <v>45801</v>
      </c>
      <c r="H148">
        <v>6241</v>
      </c>
      <c r="I148">
        <v>2306</v>
      </c>
      <c r="J148">
        <v>371</v>
      </c>
      <c r="K148">
        <v>3630</v>
      </c>
      <c r="L148">
        <v>175</v>
      </c>
      <c r="M148">
        <v>432</v>
      </c>
      <c r="N148">
        <v>85147</v>
      </c>
      <c r="O148">
        <v>7059.75</v>
      </c>
      <c r="P148">
        <v>20729.689999999999</v>
      </c>
      <c r="Q148">
        <v>36.950000000000003</v>
      </c>
      <c r="R148">
        <v>16.09</v>
      </c>
      <c r="S148">
        <v>193.63</v>
      </c>
      <c r="T148">
        <v>4.9800000000000004</v>
      </c>
      <c r="U148">
        <f>Social_Media_Campaign_Data[[#This Row],[Likes]]+Social_Media_Campaign_Data[[#This Row],[Comments]]+Social_Media_Campaign_Data[[#This Row],[Shares]]</f>
        <v>4237</v>
      </c>
      <c r="V148" t="str">
        <f>TEXT(Social_Media_Campaign_Data[[#This Row],[Date]],"mmmm")</f>
        <v>May</v>
      </c>
    </row>
    <row r="149" spans="1:22" x14ac:dyDescent="0.3">
      <c r="A149" s="1" t="s">
        <v>194</v>
      </c>
      <c r="B149" s="1" t="s">
        <v>32</v>
      </c>
      <c r="C149" s="1" t="s">
        <v>22</v>
      </c>
      <c r="D149" s="1" t="s">
        <v>33</v>
      </c>
      <c r="E149" s="1" t="s">
        <v>30</v>
      </c>
      <c r="F149" s="1" t="s">
        <v>34</v>
      </c>
      <c r="G149" s="2">
        <v>45707</v>
      </c>
      <c r="H149">
        <v>26302</v>
      </c>
      <c r="I149">
        <v>5924</v>
      </c>
      <c r="J149">
        <v>539</v>
      </c>
      <c r="K149">
        <v>4504</v>
      </c>
      <c r="L149">
        <v>405</v>
      </c>
      <c r="M149">
        <v>331</v>
      </c>
      <c r="N149">
        <v>74878</v>
      </c>
      <c r="O149">
        <v>9588.51</v>
      </c>
      <c r="P149">
        <v>29808.97</v>
      </c>
      <c r="Q149">
        <v>22.52</v>
      </c>
      <c r="R149">
        <v>9.1</v>
      </c>
      <c r="S149">
        <v>210.88</v>
      </c>
      <c r="T149">
        <v>7</v>
      </c>
      <c r="U149">
        <f>Social_Media_Campaign_Data[[#This Row],[Likes]]+Social_Media_Campaign_Data[[#This Row],[Comments]]+Social_Media_Campaign_Data[[#This Row],[Shares]]</f>
        <v>5240</v>
      </c>
      <c r="V149" t="str">
        <f>TEXT(Social_Media_Campaign_Data[[#This Row],[Date]],"mmmm")</f>
        <v>February</v>
      </c>
    </row>
    <row r="150" spans="1:22" x14ac:dyDescent="0.3">
      <c r="A150" s="1" t="s">
        <v>195</v>
      </c>
      <c r="B150" s="1" t="s">
        <v>56</v>
      </c>
      <c r="C150" s="1" t="s">
        <v>36</v>
      </c>
      <c r="D150" s="1" t="s">
        <v>23</v>
      </c>
      <c r="E150" s="1" t="s">
        <v>30</v>
      </c>
      <c r="F150" s="1" t="s">
        <v>47</v>
      </c>
      <c r="G150" s="2">
        <v>45731</v>
      </c>
      <c r="H150">
        <v>21155</v>
      </c>
      <c r="I150">
        <v>2785</v>
      </c>
      <c r="J150">
        <v>621</v>
      </c>
      <c r="K150">
        <v>2645</v>
      </c>
      <c r="L150">
        <v>250</v>
      </c>
      <c r="M150">
        <v>314</v>
      </c>
      <c r="N150">
        <v>95471</v>
      </c>
      <c r="O150">
        <v>7826.16</v>
      </c>
      <c r="P150">
        <v>31047.58</v>
      </c>
      <c r="Q150">
        <v>13.16</v>
      </c>
      <c r="R150">
        <v>22.3</v>
      </c>
      <c r="S150">
        <v>296.72000000000003</v>
      </c>
      <c r="T150">
        <v>3.36</v>
      </c>
      <c r="U150">
        <f>Social_Media_Campaign_Data[[#This Row],[Likes]]+Social_Media_Campaign_Data[[#This Row],[Comments]]+Social_Media_Campaign_Data[[#This Row],[Shares]]</f>
        <v>3209</v>
      </c>
      <c r="V150" t="str">
        <f>TEXT(Social_Media_Campaign_Data[[#This Row],[Date]],"mmmm")</f>
        <v>March</v>
      </c>
    </row>
    <row r="151" spans="1:22" x14ac:dyDescent="0.3">
      <c r="A151" s="1" t="s">
        <v>196</v>
      </c>
      <c r="B151" s="1" t="s">
        <v>69</v>
      </c>
      <c r="C151" s="1" t="s">
        <v>58</v>
      </c>
      <c r="D151" s="1" t="s">
        <v>33</v>
      </c>
      <c r="E151" s="1" t="s">
        <v>24</v>
      </c>
      <c r="F151" s="1" t="s">
        <v>47</v>
      </c>
      <c r="G151" s="2">
        <v>45771</v>
      </c>
      <c r="H151">
        <v>12987</v>
      </c>
      <c r="I151">
        <v>5197</v>
      </c>
      <c r="J151">
        <v>742</v>
      </c>
      <c r="K151">
        <v>4649</v>
      </c>
      <c r="L151">
        <v>408</v>
      </c>
      <c r="M151">
        <v>414</v>
      </c>
      <c r="N151">
        <v>24198</v>
      </c>
      <c r="O151">
        <v>8274.59</v>
      </c>
      <c r="P151">
        <v>40058.370000000003</v>
      </c>
      <c r="Q151">
        <v>40.020000000000003</v>
      </c>
      <c r="R151">
        <v>14.28</v>
      </c>
      <c r="S151">
        <v>384.11</v>
      </c>
      <c r="T151">
        <v>22.61</v>
      </c>
      <c r="U151">
        <f>Social_Media_Campaign_Data[[#This Row],[Likes]]+Social_Media_Campaign_Data[[#This Row],[Comments]]+Social_Media_Campaign_Data[[#This Row],[Shares]]</f>
        <v>5471</v>
      </c>
      <c r="V151" t="str">
        <f>TEXT(Social_Media_Campaign_Data[[#This Row],[Date]],"mmmm")</f>
        <v>April</v>
      </c>
    </row>
    <row r="152" spans="1:22" x14ac:dyDescent="0.3">
      <c r="A152" s="1" t="s">
        <v>197</v>
      </c>
      <c r="B152" s="1" t="s">
        <v>69</v>
      </c>
      <c r="C152" s="1" t="s">
        <v>49</v>
      </c>
      <c r="D152" s="1" t="s">
        <v>37</v>
      </c>
      <c r="E152" s="1" t="s">
        <v>41</v>
      </c>
      <c r="F152" s="1" t="s">
        <v>42</v>
      </c>
      <c r="G152" s="2">
        <v>45720</v>
      </c>
      <c r="H152">
        <v>47989</v>
      </c>
      <c r="I152">
        <v>2600</v>
      </c>
      <c r="J152">
        <v>815</v>
      </c>
      <c r="K152">
        <v>4124</v>
      </c>
      <c r="L152">
        <v>239</v>
      </c>
      <c r="M152">
        <v>216</v>
      </c>
      <c r="N152">
        <v>78664</v>
      </c>
      <c r="O152">
        <v>8365.5400000000009</v>
      </c>
      <c r="P152">
        <v>20486.91</v>
      </c>
      <c r="Q152">
        <v>5.42</v>
      </c>
      <c r="R152">
        <v>31.35</v>
      </c>
      <c r="S152">
        <v>144.9</v>
      </c>
      <c r="T152">
        <v>5.82</v>
      </c>
      <c r="U152">
        <f>Social_Media_Campaign_Data[[#This Row],[Likes]]+Social_Media_Campaign_Data[[#This Row],[Comments]]+Social_Media_Campaign_Data[[#This Row],[Shares]]</f>
        <v>4579</v>
      </c>
      <c r="V152" t="str">
        <f>TEXT(Social_Media_Campaign_Data[[#This Row],[Date]],"mmmm")</f>
        <v>March</v>
      </c>
    </row>
    <row r="153" spans="1:22" x14ac:dyDescent="0.3">
      <c r="A153" s="1" t="s">
        <v>198</v>
      </c>
      <c r="B153" s="1" t="s">
        <v>56</v>
      </c>
      <c r="C153" s="1" t="s">
        <v>58</v>
      </c>
      <c r="D153" s="1" t="s">
        <v>40</v>
      </c>
      <c r="E153" s="1" t="s">
        <v>24</v>
      </c>
      <c r="F153" s="1" t="s">
        <v>42</v>
      </c>
      <c r="G153" s="2">
        <v>45762</v>
      </c>
      <c r="H153">
        <v>8326</v>
      </c>
      <c r="I153">
        <v>3243</v>
      </c>
      <c r="J153">
        <v>976</v>
      </c>
      <c r="K153">
        <v>4550</v>
      </c>
      <c r="L153">
        <v>251</v>
      </c>
      <c r="M153">
        <v>248</v>
      </c>
      <c r="N153">
        <v>99025</v>
      </c>
      <c r="O153">
        <v>998.67</v>
      </c>
      <c r="P153">
        <v>2942.64</v>
      </c>
      <c r="Q153">
        <v>38.950000000000003</v>
      </c>
      <c r="R153">
        <v>30.1</v>
      </c>
      <c r="S153">
        <v>194.66</v>
      </c>
      <c r="T153">
        <v>5.0999999999999996</v>
      </c>
      <c r="U153">
        <f>Social_Media_Campaign_Data[[#This Row],[Likes]]+Social_Media_Campaign_Data[[#This Row],[Comments]]+Social_Media_Campaign_Data[[#This Row],[Shares]]</f>
        <v>5049</v>
      </c>
      <c r="V153" t="str">
        <f>TEXT(Social_Media_Campaign_Data[[#This Row],[Date]],"mmmm")</f>
        <v>April</v>
      </c>
    </row>
    <row r="154" spans="1:22" x14ac:dyDescent="0.3">
      <c r="A154" s="1" t="s">
        <v>199</v>
      </c>
      <c r="B154" s="1" t="s">
        <v>27</v>
      </c>
      <c r="C154" s="1" t="s">
        <v>22</v>
      </c>
      <c r="D154" s="1" t="s">
        <v>37</v>
      </c>
      <c r="E154" s="1" t="s">
        <v>38</v>
      </c>
      <c r="F154" s="1" t="s">
        <v>34</v>
      </c>
      <c r="G154" s="2">
        <v>45703</v>
      </c>
      <c r="H154">
        <v>47787</v>
      </c>
      <c r="I154">
        <v>4396</v>
      </c>
      <c r="J154">
        <v>538</v>
      </c>
      <c r="K154">
        <v>1833</v>
      </c>
      <c r="L154">
        <v>794</v>
      </c>
      <c r="M154">
        <v>304</v>
      </c>
      <c r="N154">
        <v>16725</v>
      </c>
      <c r="O154">
        <v>3551.09</v>
      </c>
      <c r="P154">
        <v>13354.38</v>
      </c>
      <c r="Q154">
        <v>9.1999999999999993</v>
      </c>
      <c r="R154">
        <v>12.24</v>
      </c>
      <c r="S154">
        <v>276.06</v>
      </c>
      <c r="T154">
        <v>17.52</v>
      </c>
      <c r="U154">
        <f>Social_Media_Campaign_Data[[#This Row],[Likes]]+Social_Media_Campaign_Data[[#This Row],[Comments]]+Social_Media_Campaign_Data[[#This Row],[Shares]]</f>
        <v>2931</v>
      </c>
      <c r="V154" t="str">
        <f>TEXT(Social_Media_Campaign_Data[[#This Row],[Date]],"mmmm")</f>
        <v>February</v>
      </c>
    </row>
    <row r="155" spans="1:22" x14ac:dyDescent="0.3">
      <c r="A155" s="1" t="s">
        <v>200</v>
      </c>
      <c r="B155" s="1" t="s">
        <v>21</v>
      </c>
      <c r="C155" s="1" t="s">
        <v>36</v>
      </c>
      <c r="D155" s="1" t="s">
        <v>33</v>
      </c>
      <c r="E155" s="1" t="s">
        <v>50</v>
      </c>
      <c r="F155" s="1" t="s">
        <v>34</v>
      </c>
      <c r="G155" s="2">
        <v>45692</v>
      </c>
      <c r="H155">
        <v>7381</v>
      </c>
      <c r="I155">
        <v>2126</v>
      </c>
      <c r="J155">
        <v>856</v>
      </c>
      <c r="K155">
        <v>4258</v>
      </c>
      <c r="L155">
        <v>210</v>
      </c>
      <c r="M155">
        <v>306</v>
      </c>
      <c r="N155">
        <v>79443</v>
      </c>
      <c r="O155">
        <v>8829.06</v>
      </c>
      <c r="P155">
        <v>13529.96</v>
      </c>
      <c r="Q155">
        <v>28.8</v>
      </c>
      <c r="R155">
        <v>40.26</v>
      </c>
      <c r="S155">
        <v>53.24</v>
      </c>
      <c r="T155">
        <v>6.01</v>
      </c>
      <c r="U155">
        <f>Social_Media_Campaign_Data[[#This Row],[Likes]]+Social_Media_Campaign_Data[[#This Row],[Comments]]+Social_Media_Campaign_Data[[#This Row],[Shares]]</f>
        <v>4774</v>
      </c>
      <c r="V155" t="str">
        <f>TEXT(Social_Media_Campaign_Data[[#This Row],[Date]],"mmmm")</f>
        <v>February</v>
      </c>
    </row>
    <row r="156" spans="1:22" x14ac:dyDescent="0.3">
      <c r="A156" s="1" t="s">
        <v>201</v>
      </c>
      <c r="B156" s="1" t="s">
        <v>46</v>
      </c>
      <c r="C156" s="1" t="s">
        <v>58</v>
      </c>
      <c r="D156" s="1" t="s">
        <v>33</v>
      </c>
      <c r="E156" s="1" t="s">
        <v>30</v>
      </c>
      <c r="F156" s="1" t="s">
        <v>42</v>
      </c>
      <c r="G156" s="2">
        <v>45702</v>
      </c>
      <c r="H156">
        <v>38044</v>
      </c>
      <c r="I156">
        <v>4334</v>
      </c>
      <c r="J156">
        <v>329</v>
      </c>
      <c r="K156">
        <v>1779</v>
      </c>
      <c r="L156">
        <v>135</v>
      </c>
      <c r="M156">
        <v>348</v>
      </c>
      <c r="N156">
        <v>38720</v>
      </c>
      <c r="O156">
        <v>2043.7</v>
      </c>
      <c r="P156">
        <v>6348.14</v>
      </c>
      <c r="Q156">
        <v>11.39</v>
      </c>
      <c r="R156">
        <v>7.59</v>
      </c>
      <c r="S156">
        <v>210.62</v>
      </c>
      <c r="T156">
        <v>5.84</v>
      </c>
      <c r="U156">
        <f>Social_Media_Campaign_Data[[#This Row],[Likes]]+Social_Media_Campaign_Data[[#This Row],[Comments]]+Social_Media_Campaign_Data[[#This Row],[Shares]]</f>
        <v>2262</v>
      </c>
      <c r="V156" t="str">
        <f>TEXT(Social_Media_Campaign_Data[[#This Row],[Date]],"mmmm")</f>
        <v>February</v>
      </c>
    </row>
    <row r="157" spans="1:22" x14ac:dyDescent="0.3">
      <c r="A157" s="1" t="s">
        <v>202</v>
      </c>
      <c r="B157" s="1" t="s">
        <v>46</v>
      </c>
      <c r="C157" s="1" t="s">
        <v>49</v>
      </c>
      <c r="D157" s="1" t="s">
        <v>23</v>
      </c>
      <c r="E157" s="1" t="s">
        <v>30</v>
      </c>
      <c r="F157" s="1" t="s">
        <v>42</v>
      </c>
      <c r="G157" s="2">
        <v>45659</v>
      </c>
      <c r="H157">
        <v>45039</v>
      </c>
      <c r="I157">
        <v>5732</v>
      </c>
      <c r="J157">
        <v>968</v>
      </c>
      <c r="K157">
        <v>3521</v>
      </c>
      <c r="L157">
        <v>457</v>
      </c>
      <c r="M157">
        <v>537</v>
      </c>
      <c r="N157">
        <v>17502</v>
      </c>
      <c r="O157">
        <v>3615.3</v>
      </c>
      <c r="P157">
        <v>10494.91</v>
      </c>
      <c r="Q157">
        <v>12.73</v>
      </c>
      <c r="R157">
        <v>16.89</v>
      </c>
      <c r="S157">
        <v>190.29</v>
      </c>
      <c r="T157">
        <v>25.8</v>
      </c>
      <c r="U157">
        <f>Social_Media_Campaign_Data[[#This Row],[Likes]]+Social_Media_Campaign_Data[[#This Row],[Comments]]+Social_Media_Campaign_Data[[#This Row],[Shares]]</f>
        <v>4515</v>
      </c>
      <c r="V157" t="str">
        <f>TEXT(Social_Media_Campaign_Data[[#This Row],[Date]],"mmmm")</f>
        <v>January</v>
      </c>
    </row>
    <row r="158" spans="1:22" x14ac:dyDescent="0.3">
      <c r="A158" s="1" t="s">
        <v>203</v>
      </c>
      <c r="B158" s="1" t="s">
        <v>44</v>
      </c>
      <c r="C158" s="1" t="s">
        <v>36</v>
      </c>
      <c r="D158" s="1" t="s">
        <v>33</v>
      </c>
      <c r="E158" s="1" t="s">
        <v>38</v>
      </c>
      <c r="F158" s="1" t="s">
        <v>25</v>
      </c>
      <c r="G158" s="2">
        <v>45828</v>
      </c>
      <c r="H158">
        <v>22090</v>
      </c>
      <c r="I158">
        <v>3642</v>
      </c>
      <c r="J158">
        <v>291</v>
      </c>
      <c r="K158">
        <v>3859</v>
      </c>
      <c r="L158">
        <v>791</v>
      </c>
      <c r="M158">
        <v>283</v>
      </c>
      <c r="N158">
        <v>99749</v>
      </c>
      <c r="O158">
        <v>9563.33</v>
      </c>
      <c r="P158">
        <v>24451.62</v>
      </c>
      <c r="Q158">
        <v>16.489999999999998</v>
      </c>
      <c r="R158">
        <v>7.99</v>
      </c>
      <c r="S158">
        <v>155.68</v>
      </c>
      <c r="T158">
        <v>4.95</v>
      </c>
      <c r="U158">
        <f>Social_Media_Campaign_Data[[#This Row],[Likes]]+Social_Media_Campaign_Data[[#This Row],[Comments]]+Social_Media_Campaign_Data[[#This Row],[Shares]]</f>
        <v>4933</v>
      </c>
      <c r="V158" t="str">
        <f>TEXT(Social_Media_Campaign_Data[[#This Row],[Date]],"mmmm")</f>
        <v>June</v>
      </c>
    </row>
    <row r="159" spans="1:22" x14ac:dyDescent="0.3">
      <c r="A159" s="1" t="s">
        <v>204</v>
      </c>
      <c r="B159" s="1" t="s">
        <v>21</v>
      </c>
      <c r="C159" s="1" t="s">
        <v>36</v>
      </c>
      <c r="D159" s="1" t="s">
        <v>33</v>
      </c>
      <c r="E159" s="1" t="s">
        <v>41</v>
      </c>
      <c r="F159" s="1" t="s">
        <v>42</v>
      </c>
      <c r="G159" s="2">
        <v>45714</v>
      </c>
      <c r="H159">
        <v>12747</v>
      </c>
      <c r="I159">
        <v>4312</v>
      </c>
      <c r="J159">
        <v>364</v>
      </c>
      <c r="K159">
        <v>1508</v>
      </c>
      <c r="L159">
        <v>435</v>
      </c>
      <c r="M159">
        <v>524</v>
      </c>
      <c r="N159">
        <v>45760</v>
      </c>
      <c r="O159">
        <v>9269.51</v>
      </c>
      <c r="P159">
        <v>42707.46</v>
      </c>
      <c r="Q159">
        <v>33.83</v>
      </c>
      <c r="R159">
        <v>8.44</v>
      </c>
      <c r="S159">
        <v>360.73</v>
      </c>
      <c r="T159">
        <v>5.39</v>
      </c>
      <c r="U159">
        <f>Social_Media_Campaign_Data[[#This Row],[Likes]]+Social_Media_Campaign_Data[[#This Row],[Comments]]+Social_Media_Campaign_Data[[#This Row],[Shares]]</f>
        <v>2467</v>
      </c>
      <c r="V159" t="str">
        <f>TEXT(Social_Media_Campaign_Data[[#This Row],[Date]],"mmmm")</f>
        <v>February</v>
      </c>
    </row>
    <row r="160" spans="1:22" x14ac:dyDescent="0.3">
      <c r="A160" s="1" t="s">
        <v>205</v>
      </c>
      <c r="B160" s="1" t="s">
        <v>27</v>
      </c>
      <c r="C160" s="1" t="s">
        <v>49</v>
      </c>
      <c r="D160" s="1" t="s">
        <v>29</v>
      </c>
      <c r="E160" s="1" t="s">
        <v>24</v>
      </c>
      <c r="F160" s="1" t="s">
        <v>34</v>
      </c>
      <c r="G160" s="2">
        <v>45793</v>
      </c>
      <c r="H160">
        <v>13753</v>
      </c>
      <c r="I160">
        <v>4417</v>
      </c>
      <c r="J160">
        <v>206</v>
      </c>
      <c r="K160">
        <v>3927</v>
      </c>
      <c r="L160">
        <v>785</v>
      </c>
      <c r="M160">
        <v>392</v>
      </c>
      <c r="N160">
        <v>66712</v>
      </c>
      <c r="O160">
        <v>4450.53</v>
      </c>
      <c r="P160">
        <v>15231.14</v>
      </c>
      <c r="Q160">
        <v>32.119999999999997</v>
      </c>
      <c r="R160">
        <v>4.66</v>
      </c>
      <c r="S160">
        <v>242.23</v>
      </c>
      <c r="T160">
        <v>7.65</v>
      </c>
      <c r="U160">
        <f>Social_Media_Campaign_Data[[#This Row],[Likes]]+Social_Media_Campaign_Data[[#This Row],[Comments]]+Social_Media_Campaign_Data[[#This Row],[Shares]]</f>
        <v>5104</v>
      </c>
      <c r="V160" t="str">
        <f>TEXT(Social_Media_Campaign_Data[[#This Row],[Date]],"mmmm")</f>
        <v>May</v>
      </c>
    </row>
    <row r="161" spans="1:22" x14ac:dyDescent="0.3">
      <c r="A161" s="1" t="s">
        <v>206</v>
      </c>
      <c r="B161" s="1" t="s">
        <v>46</v>
      </c>
      <c r="C161" s="1" t="s">
        <v>49</v>
      </c>
      <c r="D161" s="1" t="s">
        <v>33</v>
      </c>
      <c r="E161" s="1" t="s">
        <v>41</v>
      </c>
      <c r="F161" s="1" t="s">
        <v>34</v>
      </c>
      <c r="G161" s="2">
        <v>45687</v>
      </c>
      <c r="H161">
        <v>28709</v>
      </c>
      <c r="I161">
        <v>1139</v>
      </c>
      <c r="J161">
        <v>989</v>
      </c>
      <c r="K161">
        <v>4821</v>
      </c>
      <c r="L161">
        <v>134</v>
      </c>
      <c r="M161">
        <v>73</v>
      </c>
      <c r="N161">
        <v>31497</v>
      </c>
      <c r="O161">
        <v>8373.35</v>
      </c>
      <c r="P161">
        <v>39020.720000000001</v>
      </c>
      <c r="Q161">
        <v>3.97</v>
      </c>
      <c r="R161">
        <v>86.83</v>
      </c>
      <c r="S161">
        <v>366.01</v>
      </c>
      <c r="T161">
        <v>15.96</v>
      </c>
      <c r="U161">
        <f>Social_Media_Campaign_Data[[#This Row],[Likes]]+Social_Media_Campaign_Data[[#This Row],[Comments]]+Social_Media_Campaign_Data[[#This Row],[Shares]]</f>
        <v>5028</v>
      </c>
      <c r="V161" t="str">
        <f>TEXT(Social_Media_Campaign_Data[[#This Row],[Date]],"mmmm")</f>
        <v>January</v>
      </c>
    </row>
    <row r="162" spans="1:22" x14ac:dyDescent="0.3">
      <c r="A162" s="1" t="s">
        <v>207</v>
      </c>
      <c r="B162" s="1" t="s">
        <v>56</v>
      </c>
      <c r="C162" s="1" t="s">
        <v>49</v>
      </c>
      <c r="D162" s="1" t="s">
        <v>29</v>
      </c>
      <c r="E162" s="1" t="s">
        <v>50</v>
      </c>
      <c r="F162" s="1" t="s">
        <v>34</v>
      </c>
      <c r="G162" s="2">
        <v>45802</v>
      </c>
      <c r="H162">
        <v>49583</v>
      </c>
      <c r="I162">
        <v>2182</v>
      </c>
      <c r="J162">
        <v>784</v>
      </c>
      <c r="K162">
        <v>4977</v>
      </c>
      <c r="L162">
        <v>520</v>
      </c>
      <c r="M162">
        <v>103</v>
      </c>
      <c r="N162">
        <v>12292</v>
      </c>
      <c r="O162">
        <v>9039.4500000000007</v>
      </c>
      <c r="P162">
        <v>27653.39</v>
      </c>
      <c r="Q162">
        <v>4.4000000000000004</v>
      </c>
      <c r="R162">
        <v>35.93</v>
      </c>
      <c r="S162">
        <v>205.92</v>
      </c>
      <c r="T162">
        <v>45.56</v>
      </c>
      <c r="U162">
        <f>Social_Media_Campaign_Data[[#This Row],[Likes]]+Social_Media_Campaign_Data[[#This Row],[Comments]]+Social_Media_Campaign_Data[[#This Row],[Shares]]</f>
        <v>5600</v>
      </c>
      <c r="V162" t="str">
        <f>TEXT(Social_Media_Campaign_Data[[#This Row],[Date]],"mmmm")</f>
        <v>May</v>
      </c>
    </row>
    <row r="163" spans="1:22" x14ac:dyDescent="0.3">
      <c r="A163" s="1" t="s">
        <v>208</v>
      </c>
      <c r="B163" s="1" t="s">
        <v>21</v>
      </c>
      <c r="C163" s="1" t="s">
        <v>58</v>
      </c>
      <c r="D163" s="1" t="s">
        <v>23</v>
      </c>
      <c r="E163" s="1" t="s">
        <v>30</v>
      </c>
      <c r="F163" s="1" t="s">
        <v>25</v>
      </c>
      <c r="G163" s="2">
        <v>45796</v>
      </c>
      <c r="H163">
        <v>8783</v>
      </c>
      <c r="I163">
        <v>2788</v>
      </c>
      <c r="J163">
        <v>523</v>
      </c>
      <c r="K163">
        <v>2724</v>
      </c>
      <c r="L163">
        <v>760</v>
      </c>
      <c r="M163">
        <v>32</v>
      </c>
      <c r="N163">
        <v>33560</v>
      </c>
      <c r="O163">
        <v>4261.51</v>
      </c>
      <c r="P163">
        <v>18569.900000000001</v>
      </c>
      <c r="Q163">
        <v>31.74</v>
      </c>
      <c r="R163">
        <v>18.760000000000002</v>
      </c>
      <c r="S163">
        <v>335.76</v>
      </c>
      <c r="T163">
        <v>10.48</v>
      </c>
      <c r="U163">
        <f>Social_Media_Campaign_Data[[#This Row],[Likes]]+Social_Media_Campaign_Data[[#This Row],[Comments]]+Social_Media_Campaign_Data[[#This Row],[Shares]]</f>
        <v>3516</v>
      </c>
      <c r="V163" t="str">
        <f>TEXT(Social_Media_Campaign_Data[[#This Row],[Date]],"mmmm")</f>
        <v>May</v>
      </c>
    </row>
    <row r="164" spans="1:22" x14ac:dyDescent="0.3">
      <c r="A164" s="1" t="s">
        <v>209</v>
      </c>
      <c r="B164" s="1" t="s">
        <v>63</v>
      </c>
      <c r="C164" s="1" t="s">
        <v>36</v>
      </c>
      <c r="D164" s="1" t="s">
        <v>23</v>
      </c>
      <c r="E164" s="1" t="s">
        <v>50</v>
      </c>
      <c r="F164" s="1" t="s">
        <v>34</v>
      </c>
      <c r="G164" s="2">
        <v>45754</v>
      </c>
      <c r="H164">
        <v>8948</v>
      </c>
      <c r="I164">
        <v>4328</v>
      </c>
      <c r="J164">
        <v>965</v>
      </c>
      <c r="K164">
        <v>765</v>
      </c>
      <c r="L164">
        <v>503</v>
      </c>
      <c r="M164">
        <v>42</v>
      </c>
      <c r="N164">
        <v>22750</v>
      </c>
      <c r="O164">
        <v>3227.36</v>
      </c>
      <c r="P164">
        <v>6874.07</v>
      </c>
      <c r="Q164">
        <v>48.37</v>
      </c>
      <c r="R164">
        <v>22.3</v>
      </c>
      <c r="S164">
        <v>112.99</v>
      </c>
      <c r="T164">
        <v>5.76</v>
      </c>
      <c r="U164">
        <f>Social_Media_Campaign_Data[[#This Row],[Likes]]+Social_Media_Campaign_Data[[#This Row],[Comments]]+Social_Media_Campaign_Data[[#This Row],[Shares]]</f>
        <v>1310</v>
      </c>
      <c r="V164" t="str">
        <f>TEXT(Social_Media_Campaign_Data[[#This Row],[Date]],"mmmm")</f>
        <v>April</v>
      </c>
    </row>
    <row r="165" spans="1:22" x14ac:dyDescent="0.3">
      <c r="A165" s="1" t="s">
        <v>210</v>
      </c>
      <c r="B165" s="1" t="s">
        <v>27</v>
      </c>
      <c r="C165" s="1" t="s">
        <v>58</v>
      </c>
      <c r="D165" s="1" t="s">
        <v>37</v>
      </c>
      <c r="E165" s="1" t="s">
        <v>30</v>
      </c>
      <c r="F165" s="1" t="s">
        <v>34</v>
      </c>
      <c r="G165" s="2">
        <v>45830</v>
      </c>
      <c r="H165">
        <v>10259</v>
      </c>
      <c r="I165">
        <v>4917</v>
      </c>
      <c r="J165">
        <v>186</v>
      </c>
      <c r="K165">
        <v>3048</v>
      </c>
      <c r="L165">
        <v>141</v>
      </c>
      <c r="M165">
        <v>192</v>
      </c>
      <c r="N165">
        <v>21691</v>
      </c>
      <c r="O165">
        <v>9932.0400000000009</v>
      </c>
      <c r="P165">
        <v>28561.62</v>
      </c>
      <c r="Q165">
        <v>47.93</v>
      </c>
      <c r="R165">
        <v>3.78</v>
      </c>
      <c r="S165">
        <v>187.57</v>
      </c>
      <c r="T165">
        <v>15.59</v>
      </c>
      <c r="U165">
        <f>Social_Media_Campaign_Data[[#This Row],[Likes]]+Social_Media_Campaign_Data[[#This Row],[Comments]]+Social_Media_Campaign_Data[[#This Row],[Shares]]</f>
        <v>3381</v>
      </c>
      <c r="V165" t="str">
        <f>TEXT(Social_Media_Campaign_Data[[#This Row],[Date]],"mmmm")</f>
        <v>June</v>
      </c>
    </row>
    <row r="166" spans="1:22" x14ac:dyDescent="0.3">
      <c r="A166" s="1" t="s">
        <v>211</v>
      </c>
      <c r="B166" s="1" t="s">
        <v>21</v>
      </c>
      <c r="C166" s="1" t="s">
        <v>58</v>
      </c>
      <c r="D166" s="1" t="s">
        <v>23</v>
      </c>
      <c r="E166" s="1" t="s">
        <v>41</v>
      </c>
      <c r="F166" s="1" t="s">
        <v>25</v>
      </c>
      <c r="G166" s="2">
        <v>45719</v>
      </c>
      <c r="H166">
        <v>40680</v>
      </c>
      <c r="I166">
        <v>3974</v>
      </c>
      <c r="J166">
        <v>594</v>
      </c>
      <c r="K166">
        <v>3307</v>
      </c>
      <c r="L166">
        <v>255</v>
      </c>
      <c r="M166">
        <v>263</v>
      </c>
      <c r="N166">
        <v>29704</v>
      </c>
      <c r="O166">
        <v>4875.9399999999996</v>
      </c>
      <c r="P166">
        <v>9961.18</v>
      </c>
      <c r="Q166">
        <v>9.77</v>
      </c>
      <c r="R166">
        <v>14.95</v>
      </c>
      <c r="S166">
        <v>104.29</v>
      </c>
      <c r="T166">
        <v>12.88</v>
      </c>
      <c r="U166">
        <f>Social_Media_Campaign_Data[[#This Row],[Likes]]+Social_Media_Campaign_Data[[#This Row],[Comments]]+Social_Media_Campaign_Data[[#This Row],[Shares]]</f>
        <v>3825</v>
      </c>
      <c r="V166" t="str">
        <f>TEXT(Social_Media_Campaign_Data[[#This Row],[Date]],"mmmm")</f>
        <v>March</v>
      </c>
    </row>
    <row r="167" spans="1:22" x14ac:dyDescent="0.3">
      <c r="A167" s="1" t="s">
        <v>212</v>
      </c>
      <c r="B167" s="1" t="s">
        <v>27</v>
      </c>
      <c r="C167" s="1" t="s">
        <v>22</v>
      </c>
      <c r="D167" s="1" t="s">
        <v>40</v>
      </c>
      <c r="E167" s="1" t="s">
        <v>24</v>
      </c>
      <c r="F167" s="1" t="s">
        <v>42</v>
      </c>
      <c r="G167" s="2">
        <v>45786</v>
      </c>
      <c r="H167">
        <v>18505</v>
      </c>
      <c r="I167">
        <v>1051</v>
      </c>
      <c r="J167">
        <v>153</v>
      </c>
      <c r="K167">
        <v>475</v>
      </c>
      <c r="L167">
        <v>477</v>
      </c>
      <c r="M167">
        <v>59</v>
      </c>
      <c r="N167">
        <v>62535</v>
      </c>
      <c r="O167">
        <v>2824.97</v>
      </c>
      <c r="P167">
        <v>4674.84</v>
      </c>
      <c r="Q167">
        <v>5.68</v>
      </c>
      <c r="R167">
        <v>14.56</v>
      </c>
      <c r="S167">
        <v>65.48</v>
      </c>
      <c r="T167">
        <v>1.62</v>
      </c>
      <c r="U167">
        <f>Social_Media_Campaign_Data[[#This Row],[Likes]]+Social_Media_Campaign_Data[[#This Row],[Comments]]+Social_Media_Campaign_Data[[#This Row],[Shares]]</f>
        <v>1011</v>
      </c>
      <c r="V167" t="str">
        <f>TEXT(Social_Media_Campaign_Data[[#This Row],[Date]],"mmmm")</f>
        <v>May</v>
      </c>
    </row>
    <row r="168" spans="1:22" x14ac:dyDescent="0.3">
      <c r="A168" s="1" t="s">
        <v>213</v>
      </c>
      <c r="B168" s="1" t="s">
        <v>27</v>
      </c>
      <c r="C168" s="1" t="s">
        <v>28</v>
      </c>
      <c r="D168" s="1" t="s">
        <v>33</v>
      </c>
      <c r="E168" s="1" t="s">
        <v>30</v>
      </c>
      <c r="F168" s="1" t="s">
        <v>25</v>
      </c>
      <c r="G168" s="2">
        <v>45800</v>
      </c>
      <c r="H168">
        <v>23957</v>
      </c>
      <c r="I168">
        <v>2418</v>
      </c>
      <c r="J168">
        <v>885</v>
      </c>
      <c r="K168">
        <v>4919</v>
      </c>
      <c r="L168">
        <v>346</v>
      </c>
      <c r="M168">
        <v>338</v>
      </c>
      <c r="N168">
        <v>91535</v>
      </c>
      <c r="O168">
        <v>2750.59</v>
      </c>
      <c r="P168">
        <v>12561.68</v>
      </c>
      <c r="Q168">
        <v>10.09</v>
      </c>
      <c r="R168">
        <v>36.6</v>
      </c>
      <c r="S168">
        <v>356.69</v>
      </c>
      <c r="T168">
        <v>6.12</v>
      </c>
      <c r="U168">
        <f>Social_Media_Campaign_Data[[#This Row],[Likes]]+Social_Media_Campaign_Data[[#This Row],[Comments]]+Social_Media_Campaign_Data[[#This Row],[Shares]]</f>
        <v>5603</v>
      </c>
      <c r="V168" t="str">
        <f>TEXT(Social_Media_Campaign_Data[[#This Row],[Date]],"mmmm")</f>
        <v>May</v>
      </c>
    </row>
    <row r="169" spans="1:22" x14ac:dyDescent="0.3">
      <c r="A169" s="1" t="s">
        <v>214</v>
      </c>
      <c r="B169" s="1" t="s">
        <v>63</v>
      </c>
      <c r="C169" s="1" t="s">
        <v>22</v>
      </c>
      <c r="D169" s="1" t="s">
        <v>33</v>
      </c>
      <c r="E169" s="1" t="s">
        <v>50</v>
      </c>
      <c r="F169" s="1" t="s">
        <v>34</v>
      </c>
      <c r="G169" s="2">
        <v>45696</v>
      </c>
      <c r="H169">
        <v>43775</v>
      </c>
      <c r="I169">
        <v>6522</v>
      </c>
      <c r="J169">
        <v>983</v>
      </c>
      <c r="K169">
        <v>1634</v>
      </c>
      <c r="L169">
        <v>661</v>
      </c>
      <c r="M169">
        <v>447</v>
      </c>
      <c r="N169">
        <v>50143</v>
      </c>
      <c r="O169">
        <v>5780.58</v>
      </c>
      <c r="P169">
        <v>9619.43</v>
      </c>
      <c r="Q169">
        <v>14.9</v>
      </c>
      <c r="R169">
        <v>15.07</v>
      </c>
      <c r="S169">
        <v>66.41</v>
      </c>
      <c r="T169">
        <v>5.47</v>
      </c>
      <c r="U169">
        <f>Social_Media_Campaign_Data[[#This Row],[Likes]]+Social_Media_Campaign_Data[[#This Row],[Comments]]+Social_Media_Campaign_Data[[#This Row],[Shares]]</f>
        <v>2742</v>
      </c>
      <c r="V169" t="str">
        <f>TEXT(Social_Media_Campaign_Data[[#This Row],[Date]],"mmmm")</f>
        <v>February</v>
      </c>
    </row>
    <row r="170" spans="1:22" x14ac:dyDescent="0.3">
      <c r="A170" s="1" t="s">
        <v>215</v>
      </c>
      <c r="B170" s="1" t="s">
        <v>46</v>
      </c>
      <c r="C170" s="1" t="s">
        <v>28</v>
      </c>
      <c r="D170" s="1" t="s">
        <v>37</v>
      </c>
      <c r="E170" s="1" t="s">
        <v>41</v>
      </c>
      <c r="F170" s="1" t="s">
        <v>34</v>
      </c>
      <c r="G170" s="2">
        <v>45764</v>
      </c>
      <c r="H170">
        <v>24653</v>
      </c>
      <c r="I170">
        <v>3583</v>
      </c>
      <c r="J170">
        <v>238</v>
      </c>
      <c r="K170">
        <v>4606</v>
      </c>
      <c r="L170">
        <v>504</v>
      </c>
      <c r="M170">
        <v>256</v>
      </c>
      <c r="N170">
        <v>97743</v>
      </c>
      <c r="O170">
        <v>8568.74</v>
      </c>
      <c r="P170">
        <v>21872.37</v>
      </c>
      <c r="Q170">
        <v>14.53</v>
      </c>
      <c r="R170">
        <v>6.64</v>
      </c>
      <c r="S170">
        <v>155.26</v>
      </c>
      <c r="T170">
        <v>5.49</v>
      </c>
      <c r="U170">
        <f>Social_Media_Campaign_Data[[#This Row],[Likes]]+Social_Media_Campaign_Data[[#This Row],[Comments]]+Social_Media_Campaign_Data[[#This Row],[Shares]]</f>
        <v>5366</v>
      </c>
      <c r="V170" t="str">
        <f>TEXT(Social_Media_Campaign_Data[[#This Row],[Date]],"mmmm")</f>
        <v>April</v>
      </c>
    </row>
    <row r="171" spans="1:22" x14ac:dyDescent="0.3">
      <c r="A171" s="1" t="s">
        <v>216</v>
      </c>
      <c r="B171" s="1" t="s">
        <v>32</v>
      </c>
      <c r="C171" s="1" t="s">
        <v>58</v>
      </c>
      <c r="D171" s="1" t="s">
        <v>29</v>
      </c>
      <c r="E171" s="1" t="s">
        <v>38</v>
      </c>
      <c r="F171" s="1" t="s">
        <v>25</v>
      </c>
      <c r="G171" s="2">
        <v>45726</v>
      </c>
      <c r="H171">
        <v>41522</v>
      </c>
      <c r="I171">
        <v>4841</v>
      </c>
      <c r="J171">
        <v>187</v>
      </c>
      <c r="K171">
        <v>3381</v>
      </c>
      <c r="L171">
        <v>268</v>
      </c>
      <c r="M171">
        <v>271</v>
      </c>
      <c r="N171">
        <v>63954</v>
      </c>
      <c r="O171">
        <v>2431.6999999999998</v>
      </c>
      <c r="P171">
        <v>9151.6299999999992</v>
      </c>
      <c r="Q171">
        <v>11.66</v>
      </c>
      <c r="R171">
        <v>3.86</v>
      </c>
      <c r="S171">
        <v>276.35000000000002</v>
      </c>
      <c r="T171">
        <v>6.13</v>
      </c>
      <c r="U171">
        <f>Social_Media_Campaign_Data[[#This Row],[Likes]]+Social_Media_Campaign_Data[[#This Row],[Comments]]+Social_Media_Campaign_Data[[#This Row],[Shares]]</f>
        <v>3920</v>
      </c>
      <c r="V171" t="str">
        <f>TEXT(Social_Media_Campaign_Data[[#This Row],[Date]],"mmmm")</f>
        <v>March</v>
      </c>
    </row>
    <row r="172" spans="1:22" x14ac:dyDescent="0.3">
      <c r="A172" s="1" t="s">
        <v>217</v>
      </c>
      <c r="B172" s="1" t="s">
        <v>27</v>
      </c>
      <c r="C172" s="1" t="s">
        <v>28</v>
      </c>
      <c r="D172" s="1" t="s">
        <v>40</v>
      </c>
      <c r="E172" s="1" t="s">
        <v>30</v>
      </c>
      <c r="F172" s="1" t="s">
        <v>47</v>
      </c>
      <c r="G172" s="2">
        <v>45661</v>
      </c>
      <c r="H172">
        <v>29718</v>
      </c>
      <c r="I172">
        <v>6018</v>
      </c>
      <c r="J172">
        <v>669</v>
      </c>
      <c r="K172">
        <v>523</v>
      </c>
      <c r="L172">
        <v>94</v>
      </c>
      <c r="M172">
        <v>202</v>
      </c>
      <c r="N172">
        <v>93008</v>
      </c>
      <c r="O172">
        <v>8144.18</v>
      </c>
      <c r="P172">
        <v>28965.13</v>
      </c>
      <c r="Q172">
        <v>20.25</v>
      </c>
      <c r="R172">
        <v>11.12</v>
      </c>
      <c r="S172">
        <v>255.65</v>
      </c>
      <c r="T172">
        <v>0.88</v>
      </c>
      <c r="U172">
        <f>Social_Media_Campaign_Data[[#This Row],[Likes]]+Social_Media_Campaign_Data[[#This Row],[Comments]]+Social_Media_Campaign_Data[[#This Row],[Shares]]</f>
        <v>819</v>
      </c>
      <c r="V172" t="str">
        <f>TEXT(Social_Media_Campaign_Data[[#This Row],[Date]],"mmmm")</f>
        <v>January</v>
      </c>
    </row>
    <row r="173" spans="1:22" x14ac:dyDescent="0.3">
      <c r="A173" s="1" t="s">
        <v>218</v>
      </c>
      <c r="B173" s="1" t="s">
        <v>27</v>
      </c>
      <c r="C173" s="1" t="s">
        <v>28</v>
      </c>
      <c r="D173" s="1" t="s">
        <v>40</v>
      </c>
      <c r="E173" s="1" t="s">
        <v>41</v>
      </c>
      <c r="F173" s="1" t="s">
        <v>47</v>
      </c>
      <c r="G173" s="2">
        <v>45730</v>
      </c>
      <c r="H173">
        <v>18881</v>
      </c>
      <c r="I173">
        <v>2056</v>
      </c>
      <c r="J173">
        <v>809</v>
      </c>
      <c r="K173">
        <v>1161</v>
      </c>
      <c r="L173">
        <v>784</v>
      </c>
      <c r="M173">
        <v>500</v>
      </c>
      <c r="N173">
        <v>97244</v>
      </c>
      <c r="O173">
        <v>9187.19</v>
      </c>
      <c r="P173">
        <v>36148.76</v>
      </c>
      <c r="Q173">
        <v>10.89</v>
      </c>
      <c r="R173">
        <v>39.35</v>
      </c>
      <c r="S173">
        <v>293.47000000000003</v>
      </c>
      <c r="T173">
        <v>2.5099999999999998</v>
      </c>
      <c r="U173">
        <f>Social_Media_Campaign_Data[[#This Row],[Likes]]+Social_Media_Campaign_Data[[#This Row],[Comments]]+Social_Media_Campaign_Data[[#This Row],[Shares]]</f>
        <v>2445</v>
      </c>
      <c r="V173" t="str">
        <f>TEXT(Social_Media_Campaign_Data[[#This Row],[Date]],"mmmm")</f>
        <v>March</v>
      </c>
    </row>
    <row r="174" spans="1:22" x14ac:dyDescent="0.3">
      <c r="A174" s="1" t="s">
        <v>219</v>
      </c>
      <c r="B174" s="1" t="s">
        <v>21</v>
      </c>
      <c r="C174" s="1" t="s">
        <v>28</v>
      </c>
      <c r="D174" s="1" t="s">
        <v>33</v>
      </c>
      <c r="E174" s="1" t="s">
        <v>38</v>
      </c>
      <c r="F174" s="1" t="s">
        <v>47</v>
      </c>
      <c r="G174" s="2">
        <v>45738</v>
      </c>
      <c r="H174">
        <v>29947</v>
      </c>
      <c r="I174">
        <v>4319</v>
      </c>
      <c r="J174">
        <v>596</v>
      </c>
      <c r="K174">
        <v>3143</v>
      </c>
      <c r="L174">
        <v>335</v>
      </c>
      <c r="M174">
        <v>277</v>
      </c>
      <c r="N174">
        <v>66080</v>
      </c>
      <c r="O174">
        <v>3916.62</v>
      </c>
      <c r="P174">
        <v>17976.669999999998</v>
      </c>
      <c r="Q174">
        <v>14.42</v>
      </c>
      <c r="R174">
        <v>13.8</v>
      </c>
      <c r="S174">
        <v>358.98</v>
      </c>
      <c r="T174">
        <v>5.68</v>
      </c>
      <c r="U174">
        <f>Social_Media_Campaign_Data[[#This Row],[Likes]]+Social_Media_Campaign_Data[[#This Row],[Comments]]+Social_Media_Campaign_Data[[#This Row],[Shares]]</f>
        <v>3755</v>
      </c>
      <c r="V174" t="str">
        <f>TEXT(Social_Media_Campaign_Data[[#This Row],[Date]],"mmmm")</f>
        <v>March</v>
      </c>
    </row>
    <row r="175" spans="1:22" x14ac:dyDescent="0.3">
      <c r="A175" s="1" t="s">
        <v>220</v>
      </c>
      <c r="B175" s="1" t="s">
        <v>63</v>
      </c>
      <c r="C175" s="1" t="s">
        <v>36</v>
      </c>
      <c r="D175" s="1" t="s">
        <v>40</v>
      </c>
      <c r="E175" s="1" t="s">
        <v>38</v>
      </c>
      <c r="F175" s="1" t="s">
        <v>47</v>
      </c>
      <c r="G175" s="2">
        <v>45716</v>
      </c>
      <c r="H175">
        <v>32127</v>
      </c>
      <c r="I175">
        <v>874</v>
      </c>
      <c r="J175">
        <v>626</v>
      </c>
      <c r="K175">
        <v>2012</v>
      </c>
      <c r="L175">
        <v>779</v>
      </c>
      <c r="M175">
        <v>159</v>
      </c>
      <c r="N175">
        <v>81550</v>
      </c>
      <c r="O175">
        <v>654.09</v>
      </c>
      <c r="P175">
        <v>2247.84</v>
      </c>
      <c r="Q175">
        <v>2.72</v>
      </c>
      <c r="R175">
        <v>71.62</v>
      </c>
      <c r="S175">
        <v>243.66</v>
      </c>
      <c r="T175">
        <v>3.62</v>
      </c>
      <c r="U175">
        <f>Social_Media_Campaign_Data[[#This Row],[Likes]]+Social_Media_Campaign_Data[[#This Row],[Comments]]+Social_Media_Campaign_Data[[#This Row],[Shares]]</f>
        <v>2950</v>
      </c>
      <c r="V175" t="str">
        <f>TEXT(Social_Media_Campaign_Data[[#This Row],[Date]],"mmmm")</f>
        <v>February</v>
      </c>
    </row>
    <row r="176" spans="1:22" x14ac:dyDescent="0.3">
      <c r="A176" s="1" t="s">
        <v>221</v>
      </c>
      <c r="B176" s="1" t="s">
        <v>56</v>
      </c>
      <c r="C176" s="1" t="s">
        <v>28</v>
      </c>
      <c r="D176" s="1" t="s">
        <v>23</v>
      </c>
      <c r="E176" s="1" t="s">
        <v>38</v>
      </c>
      <c r="F176" s="1" t="s">
        <v>47</v>
      </c>
      <c r="G176" s="2">
        <v>45701</v>
      </c>
      <c r="H176">
        <v>29893</v>
      </c>
      <c r="I176">
        <v>5167</v>
      </c>
      <c r="J176">
        <v>903</v>
      </c>
      <c r="K176">
        <v>2213</v>
      </c>
      <c r="L176">
        <v>531</v>
      </c>
      <c r="M176">
        <v>573</v>
      </c>
      <c r="N176">
        <v>38728</v>
      </c>
      <c r="O176">
        <v>6718.78</v>
      </c>
      <c r="P176">
        <v>26182.84</v>
      </c>
      <c r="Q176">
        <v>17.28</v>
      </c>
      <c r="R176">
        <v>17.48</v>
      </c>
      <c r="S176">
        <v>289.7</v>
      </c>
      <c r="T176">
        <v>8.56</v>
      </c>
      <c r="U176">
        <f>Social_Media_Campaign_Data[[#This Row],[Likes]]+Social_Media_Campaign_Data[[#This Row],[Comments]]+Social_Media_Campaign_Data[[#This Row],[Shares]]</f>
        <v>3317</v>
      </c>
      <c r="V176" t="str">
        <f>TEXT(Social_Media_Campaign_Data[[#This Row],[Date]],"mmmm")</f>
        <v>February</v>
      </c>
    </row>
    <row r="177" spans="1:22" x14ac:dyDescent="0.3">
      <c r="A177" s="1" t="s">
        <v>222</v>
      </c>
      <c r="B177" s="1" t="s">
        <v>44</v>
      </c>
      <c r="C177" s="1" t="s">
        <v>58</v>
      </c>
      <c r="D177" s="1" t="s">
        <v>37</v>
      </c>
      <c r="E177" s="1" t="s">
        <v>24</v>
      </c>
      <c r="F177" s="1" t="s">
        <v>34</v>
      </c>
      <c r="G177" s="2">
        <v>45693</v>
      </c>
      <c r="H177">
        <v>14172</v>
      </c>
      <c r="I177">
        <v>6400</v>
      </c>
      <c r="J177">
        <v>609</v>
      </c>
      <c r="K177">
        <v>4200</v>
      </c>
      <c r="L177">
        <v>208</v>
      </c>
      <c r="M177">
        <v>565</v>
      </c>
      <c r="N177">
        <v>73674</v>
      </c>
      <c r="O177">
        <v>9908.07</v>
      </c>
      <c r="P177">
        <v>48057.4</v>
      </c>
      <c r="Q177">
        <v>45.16</v>
      </c>
      <c r="R177">
        <v>9.52</v>
      </c>
      <c r="S177">
        <v>385.03</v>
      </c>
      <c r="T177">
        <v>6.75</v>
      </c>
      <c r="U177">
        <f>Social_Media_Campaign_Data[[#This Row],[Likes]]+Social_Media_Campaign_Data[[#This Row],[Comments]]+Social_Media_Campaign_Data[[#This Row],[Shares]]</f>
        <v>4973</v>
      </c>
      <c r="V177" t="str">
        <f>TEXT(Social_Media_Campaign_Data[[#This Row],[Date]],"mmmm")</f>
        <v>February</v>
      </c>
    </row>
    <row r="178" spans="1:22" x14ac:dyDescent="0.3">
      <c r="A178" s="1" t="s">
        <v>223</v>
      </c>
      <c r="B178" s="1" t="s">
        <v>56</v>
      </c>
      <c r="C178" s="1" t="s">
        <v>28</v>
      </c>
      <c r="D178" s="1" t="s">
        <v>37</v>
      </c>
      <c r="E178" s="1" t="s">
        <v>24</v>
      </c>
      <c r="F178" s="1" t="s">
        <v>34</v>
      </c>
      <c r="G178" s="2">
        <v>45661</v>
      </c>
      <c r="H178">
        <v>46333</v>
      </c>
      <c r="I178">
        <v>2395</v>
      </c>
      <c r="J178">
        <v>119</v>
      </c>
      <c r="K178">
        <v>1437</v>
      </c>
      <c r="L178">
        <v>29</v>
      </c>
      <c r="M178">
        <v>233</v>
      </c>
      <c r="N178">
        <v>85980</v>
      </c>
      <c r="O178">
        <v>5304.46</v>
      </c>
      <c r="P178">
        <v>14885.39</v>
      </c>
      <c r="Q178">
        <v>5.17</v>
      </c>
      <c r="R178">
        <v>4.97</v>
      </c>
      <c r="S178">
        <v>180.62</v>
      </c>
      <c r="T178">
        <v>1.98</v>
      </c>
      <c r="U178">
        <f>Social_Media_Campaign_Data[[#This Row],[Likes]]+Social_Media_Campaign_Data[[#This Row],[Comments]]+Social_Media_Campaign_Data[[#This Row],[Shares]]</f>
        <v>1699</v>
      </c>
      <c r="V178" t="str">
        <f>TEXT(Social_Media_Campaign_Data[[#This Row],[Date]],"mmmm")</f>
        <v>January</v>
      </c>
    </row>
    <row r="179" spans="1:22" x14ac:dyDescent="0.3">
      <c r="A179" s="1" t="s">
        <v>224</v>
      </c>
      <c r="B179" s="1" t="s">
        <v>63</v>
      </c>
      <c r="C179" s="1" t="s">
        <v>49</v>
      </c>
      <c r="D179" s="1" t="s">
        <v>37</v>
      </c>
      <c r="E179" s="1" t="s">
        <v>24</v>
      </c>
      <c r="F179" s="1" t="s">
        <v>42</v>
      </c>
      <c r="G179" s="2">
        <v>45719</v>
      </c>
      <c r="H179">
        <v>6096</v>
      </c>
      <c r="I179">
        <v>2668</v>
      </c>
      <c r="J179">
        <v>789</v>
      </c>
      <c r="K179">
        <v>2450</v>
      </c>
      <c r="L179">
        <v>568</v>
      </c>
      <c r="M179">
        <v>303</v>
      </c>
      <c r="N179">
        <v>93346</v>
      </c>
      <c r="O179">
        <v>662.85</v>
      </c>
      <c r="P179">
        <v>2880.78</v>
      </c>
      <c r="Q179">
        <v>43.77</v>
      </c>
      <c r="R179">
        <v>29.57</v>
      </c>
      <c r="S179">
        <v>334.61</v>
      </c>
      <c r="T179">
        <v>3.56</v>
      </c>
      <c r="U179">
        <f>Social_Media_Campaign_Data[[#This Row],[Likes]]+Social_Media_Campaign_Data[[#This Row],[Comments]]+Social_Media_Campaign_Data[[#This Row],[Shares]]</f>
        <v>3321</v>
      </c>
      <c r="V179" t="str">
        <f>TEXT(Social_Media_Campaign_Data[[#This Row],[Date]],"mmmm")</f>
        <v>March</v>
      </c>
    </row>
    <row r="180" spans="1:22" x14ac:dyDescent="0.3">
      <c r="A180" s="1" t="s">
        <v>225</v>
      </c>
      <c r="B180" s="1" t="s">
        <v>56</v>
      </c>
      <c r="C180" s="1" t="s">
        <v>22</v>
      </c>
      <c r="D180" s="1" t="s">
        <v>40</v>
      </c>
      <c r="E180" s="1" t="s">
        <v>38</v>
      </c>
      <c r="F180" s="1" t="s">
        <v>47</v>
      </c>
      <c r="G180" s="2">
        <v>45833</v>
      </c>
      <c r="H180">
        <v>17578</v>
      </c>
      <c r="I180">
        <v>5577</v>
      </c>
      <c r="J180">
        <v>589</v>
      </c>
      <c r="K180">
        <v>2267</v>
      </c>
      <c r="L180">
        <v>382</v>
      </c>
      <c r="M180">
        <v>283</v>
      </c>
      <c r="N180">
        <v>58218</v>
      </c>
      <c r="O180">
        <v>8051.9</v>
      </c>
      <c r="P180">
        <v>14304.74</v>
      </c>
      <c r="Q180">
        <v>31.73</v>
      </c>
      <c r="R180">
        <v>10.56</v>
      </c>
      <c r="S180">
        <v>77.66</v>
      </c>
      <c r="T180">
        <v>5.04</v>
      </c>
      <c r="U180">
        <f>Social_Media_Campaign_Data[[#This Row],[Likes]]+Social_Media_Campaign_Data[[#This Row],[Comments]]+Social_Media_Campaign_Data[[#This Row],[Shares]]</f>
        <v>2932</v>
      </c>
      <c r="V180" t="str">
        <f>TEXT(Social_Media_Campaign_Data[[#This Row],[Date]],"mmmm")</f>
        <v>June</v>
      </c>
    </row>
    <row r="181" spans="1:22" x14ac:dyDescent="0.3">
      <c r="A181" s="1" t="s">
        <v>226</v>
      </c>
      <c r="B181" s="1" t="s">
        <v>46</v>
      </c>
      <c r="C181" s="1" t="s">
        <v>58</v>
      </c>
      <c r="D181" s="1" t="s">
        <v>23</v>
      </c>
      <c r="E181" s="1" t="s">
        <v>50</v>
      </c>
      <c r="F181" s="1" t="s">
        <v>47</v>
      </c>
      <c r="G181" s="2">
        <v>45802</v>
      </c>
      <c r="H181">
        <v>10283</v>
      </c>
      <c r="I181">
        <v>759</v>
      </c>
      <c r="J181">
        <v>145</v>
      </c>
      <c r="K181">
        <v>3520</v>
      </c>
      <c r="L181">
        <v>408</v>
      </c>
      <c r="M181">
        <v>396</v>
      </c>
      <c r="N181">
        <v>6238</v>
      </c>
      <c r="O181">
        <v>5750.66</v>
      </c>
      <c r="P181">
        <v>9755.43</v>
      </c>
      <c r="Q181">
        <v>7.38</v>
      </c>
      <c r="R181">
        <v>19.100000000000001</v>
      </c>
      <c r="S181">
        <v>69.64</v>
      </c>
      <c r="T181">
        <v>69.319999999999993</v>
      </c>
      <c r="U181">
        <f>Social_Media_Campaign_Data[[#This Row],[Likes]]+Social_Media_Campaign_Data[[#This Row],[Comments]]+Social_Media_Campaign_Data[[#This Row],[Shares]]</f>
        <v>4324</v>
      </c>
      <c r="V181" t="str">
        <f>TEXT(Social_Media_Campaign_Data[[#This Row],[Date]],"mmmm")</f>
        <v>May</v>
      </c>
    </row>
    <row r="182" spans="1:22" x14ac:dyDescent="0.3">
      <c r="A182" s="1" t="s">
        <v>227</v>
      </c>
      <c r="B182" s="1" t="s">
        <v>56</v>
      </c>
      <c r="C182" s="1" t="s">
        <v>36</v>
      </c>
      <c r="D182" s="1" t="s">
        <v>37</v>
      </c>
      <c r="E182" s="1" t="s">
        <v>24</v>
      </c>
      <c r="F182" s="1" t="s">
        <v>47</v>
      </c>
      <c r="G182" s="2">
        <v>45797</v>
      </c>
      <c r="H182">
        <v>11249</v>
      </c>
      <c r="I182">
        <v>4826</v>
      </c>
      <c r="J182">
        <v>991</v>
      </c>
      <c r="K182">
        <v>548</v>
      </c>
      <c r="L182">
        <v>255</v>
      </c>
      <c r="M182">
        <v>226</v>
      </c>
      <c r="N182">
        <v>79289</v>
      </c>
      <c r="O182">
        <v>9062.09</v>
      </c>
      <c r="P182">
        <v>35550.639999999999</v>
      </c>
      <c r="Q182">
        <v>42.9</v>
      </c>
      <c r="R182">
        <v>20.53</v>
      </c>
      <c r="S182">
        <v>292.3</v>
      </c>
      <c r="T182">
        <v>1.3</v>
      </c>
      <c r="U182">
        <f>Social_Media_Campaign_Data[[#This Row],[Likes]]+Social_Media_Campaign_Data[[#This Row],[Comments]]+Social_Media_Campaign_Data[[#This Row],[Shares]]</f>
        <v>1029</v>
      </c>
      <c r="V182" t="str">
        <f>TEXT(Social_Media_Campaign_Data[[#This Row],[Date]],"mmmm")</f>
        <v>May</v>
      </c>
    </row>
    <row r="183" spans="1:22" x14ac:dyDescent="0.3">
      <c r="A183" s="1" t="s">
        <v>228</v>
      </c>
      <c r="B183" s="1" t="s">
        <v>63</v>
      </c>
      <c r="C183" s="1" t="s">
        <v>58</v>
      </c>
      <c r="D183" s="1" t="s">
        <v>33</v>
      </c>
      <c r="E183" s="1" t="s">
        <v>38</v>
      </c>
      <c r="F183" s="1" t="s">
        <v>42</v>
      </c>
      <c r="G183" s="2">
        <v>45803</v>
      </c>
      <c r="H183">
        <v>41930</v>
      </c>
      <c r="I183">
        <v>5891</v>
      </c>
      <c r="J183">
        <v>83</v>
      </c>
      <c r="K183">
        <v>1669</v>
      </c>
      <c r="L183">
        <v>342</v>
      </c>
      <c r="M183">
        <v>26</v>
      </c>
      <c r="N183">
        <v>98416</v>
      </c>
      <c r="O183">
        <v>9633.9599999999991</v>
      </c>
      <c r="P183">
        <v>34245.129999999997</v>
      </c>
      <c r="Q183">
        <v>14.05</v>
      </c>
      <c r="R183">
        <v>1.41</v>
      </c>
      <c r="S183">
        <v>255.46</v>
      </c>
      <c r="T183">
        <v>2.0699999999999998</v>
      </c>
      <c r="U183">
        <f>Social_Media_Campaign_Data[[#This Row],[Likes]]+Social_Media_Campaign_Data[[#This Row],[Comments]]+Social_Media_Campaign_Data[[#This Row],[Shares]]</f>
        <v>2037</v>
      </c>
      <c r="V183" t="str">
        <f>TEXT(Social_Media_Campaign_Data[[#This Row],[Date]],"mmmm")</f>
        <v>May</v>
      </c>
    </row>
    <row r="184" spans="1:22" x14ac:dyDescent="0.3">
      <c r="A184" s="1" t="s">
        <v>229</v>
      </c>
      <c r="B184" s="1" t="s">
        <v>21</v>
      </c>
      <c r="C184" s="1" t="s">
        <v>22</v>
      </c>
      <c r="D184" s="1" t="s">
        <v>33</v>
      </c>
      <c r="E184" s="1" t="s">
        <v>24</v>
      </c>
      <c r="F184" s="1" t="s">
        <v>25</v>
      </c>
      <c r="G184" s="2">
        <v>45769</v>
      </c>
      <c r="H184">
        <v>30503</v>
      </c>
      <c r="I184">
        <v>6046</v>
      </c>
      <c r="J184">
        <v>968</v>
      </c>
      <c r="K184">
        <v>4628</v>
      </c>
      <c r="L184">
        <v>359</v>
      </c>
      <c r="M184">
        <v>403</v>
      </c>
      <c r="N184">
        <v>95349</v>
      </c>
      <c r="O184">
        <v>7678.29</v>
      </c>
      <c r="P184">
        <v>15278.47</v>
      </c>
      <c r="Q184">
        <v>19.82</v>
      </c>
      <c r="R184">
        <v>16.010000000000002</v>
      </c>
      <c r="S184">
        <v>98.98</v>
      </c>
      <c r="T184">
        <v>5.65</v>
      </c>
      <c r="U184">
        <f>Social_Media_Campaign_Data[[#This Row],[Likes]]+Social_Media_Campaign_Data[[#This Row],[Comments]]+Social_Media_Campaign_Data[[#This Row],[Shares]]</f>
        <v>5390</v>
      </c>
      <c r="V184" t="str">
        <f>TEXT(Social_Media_Campaign_Data[[#This Row],[Date]],"mmmm")</f>
        <v>April</v>
      </c>
    </row>
    <row r="185" spans="1:22" x14ac:dyDescent="0.3">
      <c r="A185" s="1" t="s">
        <v>230</v>
      </c>
      <c r="B185" s="1" t="s">
        <v>56</v>
      </c>
      <c r="C185" s="1" t="s">
        <v>49</v>
      </c>
      <c r="D185" s="1" t="s">
        <v>33</v>
      </c>
      <c r="E185" s="1" t="s">
        <v>41</v>
      </c>
      <c r="F185" s="1" t="s">
        <v>34</v>
      </c>
      <c r="G185" s="2">
        <v>45768</v>
      </c>
      <c r="H185">
        <v>20213</v>
      </c>
      <c r="I185">
        <v>1122</v>
      </c>
      <c r="J185">
        <v>398</v>
      </c>
      <c r="K185">
        <v>3449</v>
      </c>
      <c r="L185">
        <v>354</v>
      </c>
      <c r="M185">
        <v>40</v>
      </c>
      <c r="N185">
        <v>64054</v>
      </c>
      <c r="O185">
        <v>6524.17</v>
      </c>
      <c r="P185">
        <v>27678.26</v>
      </c>
      <c r="Q185">
        <v>5.55</v>
      </c>
      <c r="R185">
        <v>35.47</v>
      </c>
      <c r="S185">
        <v>324.24</v>
      </c>
      <c r="T185">
        <v>6</v>
      </c>
      <c r="U185">
        <f>Social_Media_Campaign_Data[[#This Row],[Likes]]+Social_Media_Campaign_Data[[#This Row],[Comments]]+Social_Media_Campaign_Data[[#This Row],[Shares]]</f>
        <v>3843</v>
      </c>
      <c r="V185" t="str">
        <f>TEXT(Social_Media_Campaign_Data[[#This Row],[Date]],"mmmm")</f>
        <v>April</v>
      </c>
    </row>
    <row r="186" spans="1:22" x14ac:dyDescent="0.3">
      <c r="A186" s="1" t="s">
        <v>231</v>
      </c>
      <c r="B186" s="1" t="s">
        <v>69</v>
      </c>
      <c r="C186" s="1" t="s">
        <v>49</v>
      </c>
      <c r="D186" s="1" t="s">
        <v>23</v>
      </c>
      <c r="E186" s="1" t="s">
        <v>38</v>
      </c>
      <c r="F186" s="1" t="s">
        <v>34</v>
      </c>
      <c r="G186" s="2">
        <v>45739</v>
      </c>
      <c r="H186">
        <v>17172</v>
      </c>
      <c r="I186">
        <v>6068</v>
      </c>
      <c r="J186">
        <v>649</v>
      </c>
      <c r="K186">
        <v>3313</v>
      </c>
      <c r="L186">
        <v>107</v>
      </c>
      <c r="M186">
        <v>312</v>
      </c>
      <c r="N186">
        <v>15752</v>
      </c>
      <c r="O186">
        <v>8081.52</v>
      </c>
      <c r="P186">
        <v>32292.78</v>
      </c>
      <c r="Q186">
        <v>35.340000000000003</v>
      </c>
      <c r="R186">
        <v>10.7</v>
      </c>
      <c r="S186">
        <v>299.58999999999997</v>
      </c>
      <c r="T186">
        <v>23.69</v>
      </c>
      <c r="U186">
        <f>Social_Media_Campaign_Data[[#This Row],[Likes]]+Social_Media_Campaign_Data[[#This Row],[Comments]]+Social_Media_Campaign_Data[[#This Row],[Shares]]</f>
        <v>3732</v>
      </c>
      <c r="V186" t="str">
        <f>TEXT(Social_Media_Campaign_Data[[#This Row],[Date]],"mmmm")</f>
        <v>March</v>
      </c>
    </row>
    <row r="187" spans="1:22" x14ac:dyDescent="0.3">
      <c r="A187" s="1" t="s">
        <v>232</v>
      </c>
      <c r="B187" s="1" t="s">
        <v>21</v>
      </c>
      <c r="C187" s="1" t="s">
        <v>49</v>
      </c>
      <c r="D187" s="1" t="s">
        <v>23</v>
      </c>
      <c r="E187" s="1" t="s">
        <v>50</v>
      </c>
      <c r="F187" s="1" t="s">
        <v>34</v>
      </c>
      <c r="G187" s="2">
        <v>45684</v>
      </c>
      <c r="H187">
        <v>28638</v>
      </c>
      <c r="I187">
        <v>1372</v>
      </c>
      <c r="J187">
        <v>143</v>
      </c>
      <c r="K187">
        <v>242</v>
      </c>
      <c r="L187">
        <v>335</v>
      </c>
      <c r="M187">
        <v>465</v>
      </c>
      <c r="N187">
        <v>22367</v>
      </c>
      <c r="O187">
        <v>3919.22</v>
      </c>
      <c r="P187">
        <v>9579.2900000000009</v>
      </c>
      <c r="Q187">
        <v>4.79</v>
      </c>
      <c r="R187">
        <v>10.42</v>
      </c>
      <c r="S187">
        <v>144.41999999999999</v>
      </c>
      <c r="T187">
        <v>4.66</v>
      </c>
      <c r="U187">
        <f>Social_Media_Campaign_Data[[#This Row],[Likes]]+Social_Media_Campaign_Data[[#This Row],[Comments]]+Social_Media_Campaign_Data[[#This Row],[Shares]]</f>
        <v>1042</v>
      </c>
      <c r="V187" t="str">
        <f>TEXT(Social_Media_Campaign_Data[[#This Row],[Date]],"mmmm")</f>
        <v>January</v>
      </c>
    </row>
    <row r="188" spans="1:22" x14ac:dyDescent="0.3">
      <c r="A188" s="1" t="s">
        <v>233</v>
      </c>
      <c r="B188" s="1" t="s">
        <v>63</v>
      </c>
      <c r="C188" s="1" t="s">
        <v>58</v>
      </c>
      <c r="D188" s="1" t="s">
        <v>29</v>
      </c>
      <c r="E188" s="1" t="s">
        <v>38</v>
      </c>
      <c r="F188" s="1" t="s">
        <v>42</v>
      </c>
      <c r="G188" s="2">
        <v>45833</v>
      </c>
      <c r="H188">
        <v>6721</v>
      </c>
      <c r="I188">
        <v>867</v>
      </c>
      <c r="J188">
        <v>412</v>
      </c>
      <c r="K188">
        <v>4740</v>
      </c>
      <c r="L188">
        <v>115</v>
      </c>
      <c r="M188">
        <v>342</v>
      </c>
      <c r="N188">
        <v>59238</v>
      </c>
      <c r="O188">
        <v>8705.32</v>
      </c>
      <c r="P188">
        <v>13433.98</v>
      </c>
      <c r="Q188">
        <v>12.9</v>
      </c>
      <c r="R188">
        <v>47.52</v>
      </c>
      <c r="S188">
        <v>54.32</v>
      </c>
      <c r="T188">
        <v>8.77</v>
      </c>
      <c r="U188">
        <f>Social_Media_Campaign_Data[[#This Row],[Likes]]+Social_Media_Campaign_Data[[#This Row],[Comments]]+Social_Media_Campaign_Data[[#This Row],[Shares]]</f>
        <v>5197</v>
      </c>
      <c r="V188" t="str">
        <f>TEXT(Social_Media_Campaign_Data[[#This Row],[Date]],"mmmm")</f>
        <v>June</v>
      </c>
    </row>
    <row r="189" spans="1:22" x14ac:dyDescent="0.3">
      <c r="A189" s="1" t="s">
        <v>234</v>
      </c>
      <c r="B189" s="1" t="s">
        <v>69</v>
      </c>
      <c r="C189" s="1" t="s">
        <v>28</v>
      </c>
      <c r="D189" s="1" t="s">
        <v>33</v>
      </c>
      <c r="E189" s="1" t="s">
        <v>50</v>
      </c>
      <c r="F189" s="1" t="s">
        <v>25</v>
      </c>
      <c r="G189" s="2">
        <v>45750</v>
      </c>
      <c r="H189">
        <v>29951</v>
      </c>
      <c r="I189">
        <v>1888</v>
      </c>
      <c r="J189">
        <v>192</v>
      </c>
      <c r="K189">
        <v>2402</v>
      </c>
      <c r="L189">
        <v>328</v>
      </c>
      <c r="M189">
        <v>284</v>
      </c>
      <c r="N189">
        <v>61973</v>
      </c>
      <c r="O189">
        <v>5184.68</v>
      </c>
      <c r="P189">
        <v>8925.09</v>
      </c>
      <c r="Q189">
        <v>6.3</v>
      </c>
      <c r="R189">
        <v>10.17</v>
      </c>
      <c r="S189">
        <v>72.14</v>
      </c>
      <c r="T189">
        <v>4.8600000000000003</v>
      </c>
      <c r="U189">
        <f>Social_Media_Campaign_Data[[#This Row],[Likes]]+Social_Media_Campaign_Data[[#This Row],[Comments]]+Social_Media_Campaign_Data[[#This Row],[Shares]]</f>
        <v>3014</v>
      </c>
      <c r="V189" t="str">
        <f>TEXT(Social_Media_Campaign_Data[[#This Row],[Date]],"mmmm")</f>
        <v>April</v>
      </c>
    </row>
    <row r="190" spans="1:22" x14ac:dyDescent="0.3">
      <c r="A190" s="1" t="s">
        <v>235</v>
      </c>
      <c r="B190" s="1" t="s">
        <v>63</v>
      </c>
      <c r="C190" s="1" t="s">
        <v>36</v>
      </c>
      <c r="D190" s="1" t="s">
        <v>29</v>
      </c>
      <c r="E190" s="1" t="s">
        <v>50</v>
      </c>
      <c r="F190" s="1" t="s">
        <v>47</v>
      </c>
      <c r="G190" s="2">
        <v>45770</v>
      </c>
      <c r="H190">
        <v>21495</v>
      </c>
      <c r="I190">
        <v>2520</v>
      </c>
      <c r="J190">
        <v>788</v>
      </c>
      <c r="K190">
        <v>4261</v>
      </c>
      <c r="L190">
        <v>628</v>
      </c>
      <c r="M190">
        <v>210</v>
      </c>
      <c r="N190">
        <v>5887</v>
      </c>
      <c r="O190">
        <v>4849.6899999999996</v>
      </c>
      <c r="P190">
        <v>9574.32</v>
      </c>
      <c r="Q190">
        <v>11.72</v>
      </c>
      <c r="R190">
        <v>31.27</v>
      </c>
      <c r="S190">
        <v>97.42</v>
      </c>
      <c r="T190">
        <v>86.61</v>
      </c>
      <c r="U190">
        <f>Social_Media_Campaign_Data[[#This Row],[Likes]]+Social_Media_Campaign_Data[[#This Row],[Comments]]+Social_Media_Campaign_Data[[#This Row],[Shares]]</f>
        <v>5099</v>
      </c>
      <c r="V190" t="str">
        <f>TEXT(Social_Media_Campaign_Data[[#This Row],[Date]],"mmmm")</f>
        <v>April</v>
      </c>
    </row>
    <row r="191" spans="1:22" x14ac:dyDescent="0.3">
      <c r="A191" s="1" t="s">
        <v>236</v>
      </c>
      <c r="B191" s="1" t="s">
        <v>32</v>
      </c>
      <c r="C191" s="1" t="s">
        <v>49</v>
      </c>
      <c r="D191" s="1" t="s">
        <v>23</v>
      </c>
      <c r="E191" s="1" t="s">
        <v>30</v>
      </c>
      <c r="F191" s="1" t="s">
        <v>47</v>
      </c>
      <c r="G191" s="2">
        <v>45835</v>
      </c>
      <c r="H191">
        <v>26937</v>
      </c>
      <c r="I191">
        <v>4027</v>
      </c>
      <c r="J191">
        <v>885</v>
      </c>
      <c r="K191">
        <v>1315</v>
      </c>
      <c r="L191">
        <v>327</v>
      </c>
      <c r="M191">
        <v>338</v>
      </c>
      <c r="N191">
        <v>67784</v>
      </c>
      <c r="O191">
        <v>6230.51</v>
      </c>
      <c r="P191">
        <v>24507.85</v>
      </c>
      <c r="Q191">
        <v>14.95</v>
      </c>
      <c r="R191">
        <v>21.98</v>
      </c>
      <c r="S191">
        <v>293.35000000000002</v>
      </c>
      <c r="T191">
        <v>2.92</v>
      </c>
      <c r="U191">
        <f>Social_Media_Campaign_Data[[#This Row],[Likes]]+Social_Media_Campaign_Data[[#This Row],[Comments]]+Social_Media_Campaign_Data[[#This Row],[Shares]]</f>
        <v>1980</v>
      </c>
      <c r="V191" t="str">
        <f>TEXT(Social_Media_Campaign_Data[[#This Row],[Date]],"mmmm")</f>
        <v>June</v>
      </c>
    </row>
    <row r="192" spans="1:22" x14ac:dyDescent="0.3">
      <c r="A192" s="1" t="s">
        <v>237</v>
      </c>
      <c r="B192" s="1" t="s">
        <v>21</v>
      </c>
      <c r="C192" s="1" t="s">
        <v>22</v>
      </c>
      <c r="D192" s="1" t="s">
        <v>40</v>
      </c>
      <c r="E192" s="1" t="s">
        <v>41</v>
      </c>
      <c r="F192" s="1" t="s">
        <v>42</v>
      </c>
      <c r="G192" s="2">
        <v>45832</v>
      </c>
      <c r="H192">
        <v>46477</v>
      </c>
      <c r="I192">
        <v>4522</v>
      </c>
      <c r="J192">
        <v>639</v>
      </c>
      <c r="K192">
        <v>2185</v>
      </c>
      <c r="L192">
        <v>353</v>
      </c>
      <c r="M192">
        <v>395</v>
      </c>
      <c r="N192">
        <v>52843</v>
      </c>
      <c r="O192">
        <v>3162.85</v>
      </c>
      <c r="P192">
        <v>13443.8</v>
      </c>
      <c r="Q192">
        <v>9.73</v>
      </c>
      <c r="R192">
        <v>14.13</v>
      </c>
      <c r="S192">
        <v>325.05</v>
      </c>
      <c r="T192">
        <v>5.55</v>
      </c>
      <c r="U192">
        <f>Social_Media_Campaign_Data[[#This Row],[Likes]]+Social_Media_Campaign_Data[[#This Row],[Comments]]+Social_Media_Campaign_Data[[#This Row],[Shares]]</f>
        <v>2933</v>
      </c>
      <c r="V192" t="str">
        <f>TEXT(Social_Media_Campaign_Data[[#This Row],[Date]],"mmmm")</f>
        <v>June</v>
      </c>
    </row>
    <row r="193" spans="1:22" x14ac:dyDescent="0.3">
      <c r="A193" s="1" t="s">
        <v>238</v>
      </c>
      <c r="B193" s="1" t="s">
        <v>56</v>
      </c>
      <c r="C193" s="1" t="s">
        <v>49</v>
      </c>
      <c r="D193" s="1" t="s">
        <v>33</v>
      </c>
      <c r="E193" s="1" t="s">
        <v>38</v>
      </c>
      <c r="F193" s="1" t="s">
        <v>47</v>
      </c>
      <c r="G193" s="2">
        <v>45826</v>
      </c>
      <c r="H193">
        <v>41051</v>
      </c>
      <c r="I193">
        <v>720</v>
      </c>
      <c r="J193">
        <v>522</v>
      </c>
      <c r="K193">
        <v>1917</v>
      </c>
      <c r="L193">
        <v>468</v>
      </c>
      <c r="M193">
        <v>308</v>
      </c>
      <c r="N193">
        <v>58627</v>
      </c>
      <c r="O193">
        <v>8397.18</v>
      </c>
      <c r="P193">
        <v>14628.35</v>
      </c>
      <c r="Q193">
        <v>1.75</v>
      </c>
      <c r="R193">
        <v>72.5</v>
      </c>
      <c r="S193">
        <v>74.209999999999994</v>
      </c>
      <c r="T193">
        <v>4.59</v>
      </c>
      <c r="U193">
        <f>Social_Media_Campaign_Data[[#This Row],[Likes]]+Social_Media_Campaign_Data[[#This Row],[Comments]]+Social_Media_Campaign_Data[[#This Row],[Shares]]</f>
        <v>2693</v>
      </c>
      <c r="V193" t="str">
        <f>TEXT(Social_Media_Campaign_Data[[#This Row],[Date]],"mmmm")</f>
        <v>June</v>
      </c>
    </row>
    <row r="194" spans="1:22" x14ac:dyDescent="0.3">
      <c r="A194" s="1" t="s">
        <v>239</v>
      </c>
      <c r="B194" s="1" t="s">
        <v>63</v>
      </c>
      <c r="C194" s="1" t="s">
        <v>22</v>
      </c>
      <c r="D194" s="1" t="s">
        <v>37</v>
      </c>
      <c r="E194" s="1" t="s">
        <v>30</v>
      </c>
      <c r="F194" s="1" t="s">
        <v>25</v>
      </c>
      <c r="G194" s="2">
        <v>45685</v>
      </c>
      <c r="H194">
        <v>15101</v>
      </c>
      <c r="I194">
        <v>6359</v>
      </c>
      <c r="J194">
        <v>483</v>
      </c>
      <c r="K194">
        <v>3288</v>
      </c>
      <c r="L194">
        <v>95</v>
      </c>
      <c r="M194">
        <v>469</v>
      </c>
      <c r="N194">
        <v>57534</v>
      </c>
      <c r="O194">
        <v>9911.66</v>
      </c>
      <c r="P194">
        <v>31492.53</v>
      </c>
      <c r="Q194">
        <v>42.11</v>
      </c>
      <c r="R194">
        <v>7.6</v>
      </c>
      <c r="S194">
        <v>217.73</v>
      </c>
      <c r="T194">
        <v>6.7</v>
      </c>
      <c r="U194">
        <f>Social_Media_Campaign_Data[[#This Row],[Likes]]+Social_Media_Campaign_Data[[#This Row],[Comments]]+Social_Media_Campaign_Data[[#This Row],[Shares]]</f>
        <v>3852</v>
      </c>
      <c r="V194" t="str">
        <f>TEXT(Social_Media_Campaign_Data[[#This Row],[Date]],"mmmm")</f>
        <v>January</v>
      </c>
    </row>
    <row r="195" spans="1:22" x14ac:dyDescent="0.3">
      <c r="A195" s="1" t="s">
        <v>240</v>
      </c>
      <c r="B195" s="1" t="s">
        <v>63</v>
      </c>
      <c r="C195" s="1" t="s">
        <v>36</v>
      </c>
      <c r="D195" s="1" t="s">
        <v>23</v>
      </c>
      <c r="E195" s="1" t="s">
        <v>24</v>
      </c>
      <c r="F195" s="1" t="s">
        <v>25</v>
      </c>
      <c r="G195" s="2">
        <v>45683</v>
      </c>
      <c r="H195">
        <v>21268</v>
      </c>
      <c r="I195">
        <v>5887</v>
      </c>
      <c r="J195">
        <v>730</v>
      </c>
      <c r="K195">
        <v>3108</v>
      </c>
      <c r="L195">
        <v>190</v>
      </c>
      <c r="M195">
        <v>55</v>
      </c>
      <c r="N195">
        <v>89769</v>
      </c>
      <c r="O195">
        <v>5850.59</v>
      </c>
      <c r="P195">
        <v>21984.23</v>
      </c>
      <c r="Q195">
        <v>27.68</v>
      </c>
      <c r="R195">
        <v>12.4</v>
      </c>
      <c r="S195">
        <v>275.76</v>
      </c>
      <c r="T195">
        <v>3.74</v>
      </c>
      <c r="U195">
        <f>Social_Media_Campaign_Data[[#This Row],[Likes]]+Social_Media_Campaign_Data[[#This Row],[Comments]]+Social_Media_Campaign_Data[[#This Row],[Shares]]</f>
        <v>3353</v>
      </c>
      <c r="V195" t="str">
        <f>TEXT(Social_Media_Campaign_Data[[#This Row],[Date]],"mmmm")</f>
        <v>January</v>
      </c>
    </row>
    <row r="196" spans="1:22" x14ac:dyDescent="0.3">
      <c r="A196" s="1" t="s">
        <v>241</v>
      </c>
      <c r="B196" s="1" t="s">
        <v>46</v>
      </c>
      <c r="C196" s="1" t="s">
        <v>36</v>
      </c>
      <c r="D196" s="1" t="s">
        <v>37</v>
      </c>
      <c r="E196" s="1" t="s">
        <v>50</v>
      </c>
      <c r="F196" s="1" t="s">
        <v>25</v>
      </c>
      <c r="G196" s="2">
        <v>45733</v>
      </c>
      <c r="H196">
        <v>21956</v>
      </c>
      <c r="I196">
        <v>2318</v>
      </c>
      <c r="J196">
        <v>572</v>
      </c>
      <c r="K196">
        <v>4449</v>
      </c>
      <c r="L196">
        <v>591</v>
      </c>
      <c r="M196">
        <v>599</v>
      </c>
      <c r="N196">
        <v>65694</v>
      </c>
      <c r="O196">
        <v>2599.8000000000002</v>
      </c>
      <c r="P196">
        <v>7303.93</v>
      </c>
      <c r="Q196">
        <v>10.56</v>
      </c>
      <c r="R196">
        <v>24.68</v>
      </c>
      <c r="S196">
        <v>180.94</v>
      </c>
      <c r="T196">
        <v>8.58</v>
      </c>
      <c r="U196">
        <f>Social_Media_Campaign_Data[[#This Row],[Likes]]+Social_Media_Campaign_Data[[#This Row],[Comments]]+Social_Media_Campaign_Data[[#This Row],[Shares]]</f>
        <v>5639</v>
      </c>
      <c r="V196" t="str">
        <f>TEXT(Social_Media_Campaign_Data[[#This Row],[Date]],"mmmm")</f>
        <v>March</v>
      </c>
    </row>
    <row r="197" spans="1:22" x14ac:dyDescent="0.3">
      <c r="A197" s="1" t="s">
        <v>242</v>
      </c>
      <c r="B197" s="1" t="s">
        <v>56</v>
      </c>
      <c r="C197" s="1" t="s">
        <v>36</v>
      </c>
      <c r="D197" s="1" t="s">
        <v>23</v>
      </c>
      <c r="E197" s="1" t="s">
        <v>24</v>
      </c>
      <c r="F197" s="1" t="s">
        <v>34</v>
      </c>
      <c r="G197" s="2">
        <v>45836</v>
      </c>
      <c r="H197">
        <v>32261</v>
      </c>
      <c r="I197">
        <v>1203</v>
      </c>
      <c r="J197">
        <v>168</v>
      </c>
      <c r="K197">
        <v>1360</v>
      </c>
      <c r="L197">
        <v>376</v>
      </c>
      <c r="M197">
        <v>329</v>
      </c>
      <c r="N197">
        <v>73303</v>
      </c>
      <c r="O197">
        <v>3759.13</v>
      </c>
      <c r="P197">
        <v>15957.3</v>
      </c>
      <c r="Q197">
        <v>3.73</v>
      </c>
      <c r="R197">
        <v>13.97</v>
      </c>
      <c r="S197">
        <v>324.49</v>
      </c>
      <c r="T197">
        <v>2.82</v>
      </c>
      <c r="U197">
        <f>Social_Media_Campaign_Data[[#This Row],[Likes]]+Social_Media_Campaign_Data[[#This Row],[Comments]]+Social_Media_Campaign_Data[[#This Row],[Shares]]</f>
        <v>2065</v>
      </c>
      <c r="V197" t="str">
        <f>TEXT(Social_Media_Campaign_Data[[#This Row],[Date]],"mmmm")</f>
        <v>June</v>
      </c>
    </row>
    <row r="198" spans="1:22" x14ac:dyDescent="0.3">
      <c r="A198" s="1" t="s">
        <v>243</v>
      </c>
      <c r="B198" s="1" t="s">
        <v>46</v>
      </c>
      <c r="C198" s="1" t="s">
        <v>49</v>
      </c>
      <c r="D198" s="1" t="s">
        <v>29</v>
      </c>
      <c r="E198" s="1" t="s">
        <v>38</v>
      </c>
      <c r="F198" s="1" t="s">
        <v>42</v>
      </c>
      <c r="G198" s="2">
        <v>45742</v>
      </c>
      <c r="H198">
        <v>34651</v>
      </c>
      <c r="I198">
        <v>3112</v>
      </c>
      <c r="J198">
        <v>118</v>
      </c>
      <c r="K198">
        <v>2659</v>
      </c>
      <c r="L198">
        <v>65</v>
      </c>
      <c r="M198">
        <v>127</v>
      </c>
      <c r="N198">
        <v>19334</v>
      </c>
      <c r="O198">
        <v>714.56</v>
      </c>
      <c r="P198">
        <v>1929.86</v>
      </c>
      <c r="Q198">
        <v>8.98</v>
      </c>
      <c r="R198">
        <v>3.79</v>
      </c>
      <c r="S198">
        <v>170.08</v>
      </c>
      <c r="T198">
        <v>14.75</v>
      </c>
      <c r="U198">
        <f>Social_Media_Campaign_Data[[#This Row],[Likes]]+Social_Media_Campaign_Data[[#This Row],[Comments]]+Social_Media_Campaign_Data[[#This Row],[Shares]]</f>
        <v>2851</v>
      </c>
      <c r="V198" t="str">
        <f>TEXT(Social_Media_Campaign_Data[[#This Row],[Date]],"mmmm")</f>
        <v>March</v>
      </c>
    </row>
    <row r="199" spans="1:22" x14ac:dyDescent="0.3">
      <c r="A199" s="1" t="s">
        <v>244</v>
      </c>
      <c r="B199" s="1" t="s">
        <v>44</v>
      </c>
      <c r="C199" s="1" t="s">
        <v>22</v>
      </c>
      <c r="D199" s="1" t="s">
        <v>40</v>
      </c>
      <c r="E199" s="1" t="s">
        <v>50</v>
      </c>
      <c r="F199" s="1" t="s">
        <v>34</v>
      </c>
      <c r="G199" s="2">
        <v>45757</v>
      </c>
      <c r="H199">
        <v>41690</v>
      </c>
      <c r="I199">
        <v>3992</v>
      </c>
      <c r="J199">
        <v>523</v>
      </c>
      <c r="K199">
        <v>2099</v>
      </c>
      <c r="L199">
        <v>434</v>
      </c>
      <c r="M199">
        <v>198</v>
      </c>
      <c r="N199">
        <v>56849</v>
      </c>
      <c r="O199">
        <v>2270.6799999999998</v>
      </c>
      <c r="P199">
        <v>8629.9</v>
      </c>
      <c r="Q199">
        <v>9.58</v>
      </c>
      <c r="R199">
        <v>13.1</v>
      </c>
      <c r="S199">
        <v>280.06</v>
      </c>
      <c r="T199">
        <v>4.8</v>
      </c>
      <c r="U199">
        <f>Social_Media_Campaign_Data[[#This Row],[Likes]]+Social_Media_Campaign_Data[[#This Row],[Comments]]+Social_Media_Campaign_Data[[#This Row],[Shares]]</f>
        <v>2731</v>
      </c>
      <c r="V199" t="str">
        <f>TEXT(Social_Media_Campaign_Data[[#This Row],[Date]],"mmmm")</f>
        <v>April</v>
      </c>
    </row>
    <row r="200" spans="1:22" x14ac:dyDescent="0.3">
      <c r="A200" s="1" t="s">
        <v>245</v>
      </c>
      <c r="B200" s="1" t="s">
        <v>46</v>
      </c>
      <c r="C200" s="1" t="s">
        <v>36</v>
      </c>
      <c r="D200" s="1" t="s">
        <v>33</v>
      </c>
      <c r="E200" s="1" t="s">
        <v>38</v>
      </c>
      <c r="F200" s="1" t="s">
        <v>34</v>
      </c>
      <c r="G200" s="2">
        <v>45687</v>
      </c>
      <c r="H200">
        <v>5291</v>
      </c>
      <c r="I200">
        <v>1379</v>
      </c>
      <c r="J200">
        <v>260</v>
      </c>
      <c r="K200">
        <v>2480</v>
      </c>
      <c r="L200">
        <v>790</v>
      </c>
      <c r="M200">
        <v>74</v>
      </c>
      <c r="N200">
        <v>75371</v>
      </c>
      <c r="O200">
        <v>5984.81</v>
      </c>
      <c r="P200">
        <v>25724.26</v>
      </c>
      <c r="Q200">
        <v>26.06</v>
      </c>
      <c r="R200">
        <v>18.850000000000001</v>
      </c>
      <c r="S200">
        <v>329.83</v>
      </c>
      <c r="T200">
        <v>4.4400000000000004</v>
      </c>
      <c r="U200">
        <f>Social_Media_Campaign_Data[[#This Row],[Likes]]+Social_Media_Campaign_Data[[#This Row],[Comments]]+Social_Media_Campaign_Data[[#This Row],[Shares]]</f>
        <v>3344</v>
      </c>
      <c r="V200" t="str">
        <f>TEXT(Social_Media_Campaign_Data[[#This Row],[Date]],"mmmm")</f>
        <v>January</v>
      </c>
    </row>
    <row r="201" spans="1:22" x14ac:dyDescent="0.3">
      <c r="A201" s="1" t="s">
        <v>246</v>
      </c>
      <c r="B201" s="1" t="s">
        <v>21</v>
      </c>
      <c r="C201" s="1" t="s">
        <v>36</v>
      </c>
      <c r="D201" s="1" t="s">
        <v>33</v>
      </c>
      <c r="E201" s="1" t="s">
        <v>50</v>
      </c>
      <c r="F201" s="1" t="s">
        <v>42</v>
      </c>
      <c r="G201" s="2">
        <v>45830</v>
      </c>
      <c r="H201">
        <v>22193</v>
      </c>
      <c r="I201">
        <v>5994</v>
      </c>
      <c r="J201">
        <v>933</v>
      </c>
      <c r="K201">
        <v>4209</v>
      </c>
      <c r="L201">
        <v>560</v>
      </c>
      <c r="M201">
        <v>330</v>
      </c>
      <c r="N201">
        <v>81939</v>
      </c>
      <c r="O201">
        <v>6171.22</v>
      </c>
      <c r="P201">
        <v>22460.65</v>
      </c>
      <c r="Q201">
        <v>27.01</v>
      </c>
      <c r="R201">
        <v>15.57</v>
      </c>
      <c r="S201">
        <v>263.95999999999998</v>
      </c>
      <c r="T201">
        <v>6.22</v>
      </c>
      <c r="U201">
        <f>Social_Media_Campaign_Data[[#This Row],[Likes]]+Social_Media_Campaign_Data[[#This Row],[Comments]]+Social_Media_Campaign_Data[[#This Row],[Shares]]</f>
        <v>5099</v>
      </c>
      <c r="V201" t="str">
        <f>TEXT(Social_Media_Campaign_Data[[#This Row],[Date]],"mmmm")</f>
        <v>June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FFB08E-E3C1-4000-9585-F3CE776E00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Social_Media_Campaign_Data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ramesh</dc:creator>
  <cp:lastModifiedBy>archana ramesh</cp:lastModifiedBy>
  <dcterms:created xsi:type="dcterms:W3CDTF">2026-05-14T13:30:57Z</dcterms:created>
  <dcterms:modified xsi:type="dcterms:W3CDTF">2026-05-14T13:43:09Z</dcterms:modified>
</cp:coreProperties>
</file>